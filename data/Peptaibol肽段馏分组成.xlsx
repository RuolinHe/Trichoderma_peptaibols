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/>
  <mc:AlternateContent xmlns:mc="http://schemas.openxmlformats.org/markup-compatibility/2006">
    <mc:Choice Requires="x15">
      <x15ac:absPath xmlns:x15ac="http://schemas.microsoft.com/office/spreadsheetml/2010/11/ac" url="D:\课题组\zhiyuan_Lab\4-Peptaibols_NRPS\data\"/>
    </mc:Choice>
  </mc:AlternateContent>
  <xr:revisionPtr revIDLastSave="0" documentId="13_ncr:1_{192EC62C-3BC3-47F0-AA46-DC74FF1B10D9}" xr6:coauthVersionLast="36" xr6:coauthVersionMax="36" xr10:uidLastSave="{00000000-0000-0000-0000-000000000000}"/>
  <bookViews>
    <workbookView xWindow="0" yWindow="0" windowWidth="23040" windowHeight="9660" xr2:uid="{00000000-000D-0000-FFFF-FFFF00000000}"/>
  </bookViews>
  <sheets>
    <sheet name="Abbreviation" sheetId="2" r:id="rId1"/>
    <sheet name="分段馏分组成表" sheetId="1" r:id="rId2"/>
    <sheet name="tabulate" sheetId="3" r:id="rId3"/>
    <sheet name="donut" sheetId="4" r:id="rId4"/>
  </sheets>
  <calcPr calcId="191029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4" l="1"/>
  <c r="F3" i="4"/>
  <c r="F4" i="4" s="1"/>
  <c r="F5" i="4" s="1"/>
  <c r="F6" i="4" s="1"/>
  <c r="F7" i="4" s="1"/>
  <c r="F2" i="4"/>
  <c r="F9" i="4" l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</calcChain>
</file>

<file path=xl/sharedStrings.xml><?xml version="1.0" encoding="utf-8"?>
<sst xmlns="http://schemas.openxmlformats.org/spreadsheetml/2006/main" count="1767" uniqueCount="176">
  <si>
    <r>
      <t>trichohypolin A (</t>
    </r>
    <r>
      <rPr>
        <b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 xml:space="preserve">) </t>
    </r>
    <phoneticPr fontId="1" type="noConversion"/>
  </si>
  <si>
    <t>A domain</t>
    <phoneticPr fontId="1" type="noConversion"/>
  </si>
  <si>
    <t>Ala</t>
    <phoneticPr fontId="1" type="noConversion"/>
  </si>
  <si>
    <t>Aib</t>
    <phoneticPr fontId="1" type="noConversion"/>
  </si>
  <si>
    <t>Gln</t>
    <phoneticPr fontId="1" type="noConversion"/>
  </si>
  <si>
    <t>Val</t>
    <phoneticPr fontId="1" type="noConversion"/>
  </si>
  <si>
    <t>Gly</t>
    <phoneticPr fontId="1" type="noConversion"/>
  </si>
  <si>
    <t>Leu</t>
    <phoneticPr fontId="1" type="noConversion"/>
  </si>
  <si>
    <t>Pro</t>
    <phoneticPr fontId="1" type="noConversion"/>
  </si>
  <si>
    <t>Pheol</t>
    <phoneticPr fontId="1" type="noConversion"/>
  </si>
  <si>
    <t>Iva</t>
    <phoneticPr fontId="1" type="noConversion"/>
  </si>
  <si>
    <t>SF1</t>
    <phoneticPr fontId="1" type="noConversion"/>
  </si>
  <si>
    <t>Glu</t>
    <phoneticPr fontId="1" type="noConversion"/>
  </si>
  <si>
    <t>Tyrol</t>
    <phoneticPr fontId="1" type="noConversion"/>
  </si>
  <si>
    <t>SF2</t>
    <phoneticPr fontId="1" type="noConversion"/>
  </si>
  <si>
    <t>SF3</t>
    <phoneticPr fontId="1" type="noConversion"/>
  </si>
  <si>
    <r>
      <t>trichohypolin B (</t>
    </r>
    <r>
      <rPr>
        <b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) </t>
    </r>
    <phoneticPr fontId="1" type="noConversion"/>
  </si>
  <si>
    <t>SF4</t>
    <phoneticPr fontId="1" type="noConversion"/>
  </si>
  <si>
    <t>SF5</t>
    <phoneticPr fontId="1" type="noConversion"/>
  </si>
  <si>
    <t>Ala/Gly</t>
    <phoneticPr fontId="1" type="noConversion"/>
  </si>
  <si>
    <t>Ala/Aib</t>
    <phoneticPr fontId="1" type="noConversion"/>
  </si>
  <si>
    <t>Aib/Gln</t>
    <phoneticPr fontId="1" type="noConversion"/>
  </si>
  <si>
    <t>Aib/Ala</t>
    <phoneticPr fontId="1" type="noConversion"/>
  </si>
  <si>
    <t>Val/Ala</t>
    <phoneticPr fontId="1" type="noConversion"/>
  </si>
  <si>
    <t>Aib/Iva</t>
    <phoneticPr fontId="1" type="noConversion"/>
  </si>
  <si>
    <t>Peptaibol naOMe</t>
  </si>
  <si>
    <t>Gln/Glu(OMe)/Glu/Aib</t>
  </si>
  <si>
    <t>Gln/Glu(OMe)/Glu</t>
  </si>
  <si>
    <t>Glu(OMe)</t>
  </si>
  <si>
    <t>FrOAction</t>
  </si>
  <si>
    <t>Ac-U</t>
  </si>
  <si>
    <t>A</t>
  </si>
  <si>
    <t>V/A</t>
  </si>
  <si>
    <t>V</t>
  </si>
  <si>
    <t>U</t>
  </si>
  <si>
    <t>A/U</t>
  </si>
  <si>
    <t>U/A</t>
  </si>
  <si>
    <t>U/Iva</t>
  </si>
  <si>
    <t>U/Q</t>
  </si>
  <si>
    <t>Q</t>
  </si>
  <si>
    <t>Q/E(OMe)/E/U</t>
  </si>
  <si>
    <t>Q/E(OMe)/E</t>
  </si>
  <si>
    <t>E</t>
  </si>
  <si>
    <t>E(OMe)</t>
  </si>
  <si>
    <t>L</t>
  </si>
  <si>
    <t>A/G</t>
  </si>
  <si>
    <t>G</t>
  </si>
  <si>
    <t>P</t>
  </si>
  <si>
    <t>Fol</t>
  </si>
  <si>
    <t>Fol/FOAc</t>
  </si>
  <si>
    <t>FOAc</t>
  </si>
  <si>
    <t>Subfraction</t>
    <phoneticPr fontId="1" type="noConversion"/>
  </si>
  <si>
    <t>Peptaibol</t>
    <phoneticPr fontId="1" type="noConversion"/>
  </si>
  <si>
    <t>Vx</t>
    <phoneticPr fontId="1" type="noConversion"/>
  </si>
  <si>
    <t>Vxx</t>
    <phoneticPr fontId="1" type="noConversion"/>
  </si>
  <si>
    <t>Lx</t>
    <phoneticPr fontId="1" type="noConversion"/>
  </si>
  <si>
    <t>Lxx</t>
    <phoneticPr fontId="1" type="noConversion"/>
  </si>
  <si>
    <t>V/Lx</t>
    <phoneticPr fontId="1" type="noConversion"/>
  </si>
  <si>
    <t>L/Vx</t>
    <phoneticPr fontId="1" type="noConversion"/>
  </si>
  <si>
    <t>A/Vx</t>
    <phoneticPr fontId="1" type="noConversion"/>
  </si>
  <si>
    <t>Ala/Vxx</t>
    <phoneticPr fontId="1" type="noConversion"/>
  </si>
  <si>
    <t>Val/Lxx</t>
    <phoneticPr fontId="1" type="noConversion"/>
  </si>
  <si>
    <t>Leu/Vxx</t>
    <phoneticPr fontId="1" type="noConversion"/>
  </si>
  <si>
    <t>Ac-Aib</t>
  </si>
  <si>
    <t>Pheol/Phe(OAc)</t>
    <phoneticPr fontId="1" type="noConversion"/>
  </si>
  <si>
    <t>Phe(OAc)</t>
    <phoneticPr fontId="1" type="noConversion"/>
  </si>
  <si>
    <t>Substrate</t>
  </si>
  <si>
    <t>Aib</t>
  </si>
  <si>
    <t>Ala</t>
  </si>
  <si>
    <t>Gln</t>
  </si>
  <si>
    <t>Glu</t>
  </si>
  <si>
    <t>Glu(OMe)</t>
  </si>
  <si>
    <t>Gly</t>
  </si>
  <si>
    <t>Iva</t>
  </si>
  <si>
    <t>Leu</t>
  </si>
  <si>
    <t>Lxx</t>
  </si>
  <si>
    <t>Phe</t>
  </si>
  <si>
    <t>Pro</t>
  </si>
  <si>
    <t>Tyr</t>
  </si>
  <si>
    <t>Val</t>
  </si>
  <si>
    <t>Vxx</t>
  </si>
  <si>
    <t>Aib</t>
  </si>
  <si>
    <t>Ala</t>
  </si>
  <si>
    <t>Gln</t>
  </si>
  <si>
    <t>Glu</t>
  </si>
  <si>
    <t>Glu(OMe)</t>
  </si>
  <si>
    <t>Gly</t>
  </si>
  <si>
    <t>Iva</t>
  </si>
  <si>
    <t>Leu</t>
  </si>
  <si>
    <t>Lxx</t>
  </si>
  <si>
    <t>Phe</t>
  </si>
  <si>
    <t>Pro</t>
  </si>
  <si>
    <t>Tyr</t>
  </si>
  <si>
    <t>Val</t>
  </si>
  <si>
    <t>Vxx</t>
  </si>
  <si>
    <t>#FF3744</t>
  </si>
  <si>
    <t xml:space="preserve"> #FFFF00</t>
  </si>
  <si>
    <t>#7EE1A8</t>
  </si>
  <si>
    <t>#CFE9B0</t>
  </si>
  <si>
    <t>#B8E001</t>
  </si>
  <si>
    <t>#3C7747</t>
  </si>
  <si>
    <t>#3844C6</t>
  </si>
  <si>
    <t>#296EC1</t>
  </si>
  <si>
    <t>#6C5BFF</t>
  </si>
  <si>
    <t>#D3C1B3</t>
  </si>
  <si>
    <t>#7A5D8B</t>
  </si>
  <si>
    <t>#727171</t>
  </si>
  <si>
    <t>#000000</t>
  </si>
  <si>
    <t>Color</t>
    <phoneticPr fontId="1" type="noConversion"/>
  </si>
  <si>
    <t>#6eb4f6</t>
    <phoneticPr fontId="1" type="noConversion"/>
  </si>
  <si>
    <t>Substrate1</t>
  </si>
  <si>
    <t>Substrate3</t>
  </si>
  <si>
    <t>Module</t>
  </si>
  <si>
    <t>R1</t>
  </si>
  <si>
    <t>R3</t>
  </si>
  <si>
    <t>R12</t>
  </si>
  <si>
    <t>R15</t>
  </si>
  <si>
    <t>R5</t>
  </si>
  <si>
    <t>R9</t>
  </si>
  <si>
    <t>R6</t>
  </si>
  <si>
    <t>R7</t>
  </si>
  <si>
    <t>R6</t>
  </si>
  <si>
    <t>R16</t>
  </si>
  <si>
    <t>gap_1</t>
  </si>
  <si>
    <t>R5</t>
  </si>
  <si>
    <t>R9</t>
  </si>
  <si>
    <t>R4</t>
  </si>
  <si>
    <t>R14</t>
  </si>
  <si>
    <t>R2</t>
  </si>
  <si>
    <t>gap_2</t>
  </si>
  <si>
    <t>R6</t>
  </si>
  <si>
    <t>R7</t>
  </si>
  <si>
    <t>R6</t>
  </si>
  <si>
    <t>R17</t>
  </si>
  <si>
    <t>R18</t>
  </si>
  <si>
    <t>R6</t>
  </si>
  <si>
    <t>R17</t>
  </si>
  <si>
    <t>R18</t>
  </si>
  <si>
    <t>gap_3</t>
  </si>
  <si>
    <t>R6</t>
  </si>
  <si>
    <t>R17</t>
  </si>
  <si>
    <t>R18</t>
  </si>
  <si>
    <t>R6</t>
  </si>
  <si>
    <t>R17</t>
  </si>
  <si>
    <t>R18</t>
  </si>
  <si>
    <t>gap_4</t>
  </si>
  <si>
    <t>R6</t>
  </si>
  <si>
    <t>R17</t>
  </si>
  <si>
    <t>R18</t>
  </si>
  <si>
    <t>R6</t>
  </si>
  <si>
    <t>R17</t>
  </si>
  <si>
    <t>R18</t>
  </si>
  <si>
    <t>gap_5</t>
  </si>
  <si>
    <t>R10</t>
  </si>
  <si>
    <t>R4</t>
  </si>
  <si>
    <t>gap_6</t>
  </si>
  <si>
    <t>R16</t>
  </si>
  <si>
    <t>gap_7</t>
  </si>
  <si>
    <t>R11</t>
  </si>
  <si>
    <t>gap_8</t>
  </si>
  <si>
    <t>R8</t>
  </si>
  <si>
    <t>gap_9</t>
  </si>
  <si>
    <t>R19</t>
  </si>
  <si>
    <t>gap_10</t>
  </si>
  <si>
    <t>R13</t>
  </si>
  <si>
    <t>gap_11</t>
  </si>
  <si>
    <t>R19</t>
  </si>
  <si>
    <t>gap_12</t>
  </si>
  <si>
    <t>R14</t>
  </si>
  <si>
    <t>R8</t>
  </si>
  <si>
    <t>gap_13</t>
  </si>
  <si>
    <t>R2</t>
  </si>
  <si>
    <t>R11</t>
  </si>
  <si>
    <t>gap_14</t>
  </si>
  <si>
    <t>Count</t>
  </si>
  <si>
    <t>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</si>
</sst>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3D906-849C-4D80-84FF-4858E9072012}">
  <dimension ref="A1:U45"/>
  <sheetViews>
    <sheetView tabSelected="1" workbookViewId="0">
      <selection activeCell="Y8" sqref="Y8"/>
    </sheetView>
  </sheetViews>
  <sheetFormatPr defaultRowHeight="13.8" x14ac:dyDescent="0.25"/>
  <cols>
    <col min="1" max="1" width="15.44140625" customWidth="1"/>
    <col min="2" max="2" width="19.44140625" customWidth="1"/>
    <col min="8" max="8" width="14.109375" customWidth="1"/>
    <col min="19" max="19" width="12.33203125" customWidth="1"/>
    <col min="20" max="20" width="11.33203125" customWidth="1"/>
    <col min="21" max="21" width="17.33203125" customWidth="1"/>
  </cols>
  <sheetData>
    <row r="1" spans="1:21" x14ac:dyDescent="0.25">
      <c r="A1" s="10" t="s">
        <v>51</v>
      </c>
      <c r="B1" s="10" t="s">
        <v>52</v>
      </c>
      <c r="C1" s="10" t="s">
        <v>1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x14ac:dyDescent="0.25">
      <c r="A2" s="10"/>
      <c r="B2" s="10"/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>
        <v>10</v>
      </c>
      <c r="M2" s="4">
        <v>11</v>
      </c>
      <c r="N2" s="4">
        <v>12</v>
      </c>
      <c r="O2" s="4">
        <v>13</v>
      </c>
      <c r="P2" s="4">
        <v>14</v>
      </c>
      <c r="Q2" s="4">
        <v>15</v>
      </c>
      <c r="R2" s="4">
        <v>16</v>
      </c>
      <c r="S2" s="4">
        <v>17</v>
      </c>
      <c r="T2" s="4">
        <v>18</v>
      </c>
      <c r="U2" s="4">
        <v>19</v>
      </c>
    </row>
    <row r="3" spans="1:21" ht="27.6" x14ac:dyDescent="0.25">
      <c r="A3" s="10"/>
      <c r="B3" s="10"/>
      <c r="C3" s="4" t="s">
        <v>30</v>
      </c>
      <c r="D3" s="5" t="s">
        <v>59</v>
      </c>
      <c r="E3" s="4" t="s">
        <v>34</v>
      </c>
      <c r="F3" s="5" t="s">
        <v>45</v>
      </c>
      <c r="G3" s="5" t="s">
        <v>35</v>
      </c>
      <c r="H3" s="6" t="s">
        <v>40</v>
      </c>
      <c r="I3" s="5" t="s">
        <v>38</v>
      </c>
      <c r="J3" s="5" t="s">
        <v>57</v>
      </c>
      <c r="K3" s="5" t="s">
        <v>36</v>
      </c>
      <c r="L3" s="4" t="s">
        <v>46</v>
      </c>
      <c r="M3" s="5" t="s">
        <v>58</v>
      </c>
      <c r="N3" s="4" t="s">
        <v>34</v>
      </c>
      <c r="O3" s="4" t="s">
        <v>47</v>
      </c>
      <c r="P3" s="5" t="s">
        <v>32</v>
      </c>
      <c r="Q3" s="4" t="s">
        <v>34</v>
      </c>
      <c r="R3" s="5" t="s">
        <v>37</v>
      </c>
      <c r="S3" s="6" t="s">
        <v>41</v>
      </c>
      <c r="T3" s="6" t="s">
        <v>41</v>
      </c>
      <c r="U3" s="6" t="s">
        <v>49</v>
      </c>
    </row>
    <row r="4" spans="1:21" x14ac:dyDescent="0.25">
      <c r="A4" s="9" t="s">
        <v>11</v>
      </c>
      <c r="B4" s="7" t="s">
        <v>0</v>
      </c>
      <c r="C4" s="4" t="s">
        <v>30</v>
      </c>
      <c r="D4" s="4" t="s">
        <v>31</v>
      </c>
      <c r="E4" s="4" t="s">
        <v>34</v>
      </c>
      <c r="F4" s="4" t="s">
        <v>31</v>
      </c>
      <c r="G4" s="4" t="s">
        <v>31</v>
      </c>
      <c r="H4" s="4" t="s">
        <v>39</v>
      </c>
      <c r="I4" s="4" t="s">
        <v>34</v>
      </c>
      <c r="J4" s="4" t="s">
        <v>33</v>
      </c>
      <c r="K4" s="4" t="s">
        <v>34</v>
      </c>
      <c r="L4" s="4" t="s">
        <v>46</v>
      </c>
      <c r="M4" s="4" t="s">
        <v>44</v>
      </c>
      <c r="N4" s="4" t="s">
        <v>34</v>
      </c>
      <c r="O4" s="4" t="s">
        <v>47</v>
      </c>
      <c r="P4" s="4" t="s">
        <v>33</v>
      </c>
      <c r="Q4" s="4" t="s">
        <v>34</v>
      </c>
      <c r="R4" s="4" t="s">
        <v>34</v>
      </c>
      <c r="S4" s="4" t="s">
        <v>39</v>
      </c>
      <c r="T4" s="4" t="s">
        <v>39</v>
      </c>
      <c r="U4" s="4" t="s">
        <v>48</v>
      </c>
    </row>
    <row r="5" spans="1:21" x14ac:dyDescent="0.25">
      <c r="A5" s="9"/>
      <c r="B5" s="8">
        <v>3</v>
      </c>
      <c r="C5" s="4" t="s">
        <v>30</v>
      </c>
      <c r="D5" s="4" t="s">
        <v>31</v>
      </c>
      <c r="E5" s="4" t="s">
        <v>34</v>
      </c>
      <c r="F5" s="5" t="s">
        <v>46</v>
      </c>
      <c r="G5" s="4" t="s">
        <v>31</v>
      </c>
      <c r="H5" s="4" t="s">
        <v>39</v>
      </c>
      <c r="I5" s="4" t="s">
        <v>34</v>
      </c>
      <c r="J5" s="4" t="s">
        <v>33</v>
      </c>
      <c r="K5" s="4" t="s">
        <v>34</v>
      </c>
      <c r="L5" s="4" t="s">
        <v>46</v>
      </c>
      <c r="M5" s="4" t="s">
        <v>44</v>
      </c>
      <c r="N5" s="4" t="s">
        <v>34</v>
      </c>
      <c r="O5" s="4" t="s">
        <v>47</v>
      </c>
      <c r="P5" s="4" t="s">
        <v>33</v>
      </c>
      <c r="Q5" s="4" t="s">
        <v>34</v>
      </c>
      <c r="R5" s="4" t="s">
        <v>34</v>
      </c>
      <c r="S5" s="4" t="s">
        <v>39</v>
      </c>
      <c r="T5" s="4" t="s">
        <v>39</v>
      </c>
      <c r="U5" s="4" t="s">
        <v>48</v>
      </c>
    </row>
    <row r="6" spans="1:21" x14ac:dyDescent="0.25">
      <c r="A6" s="9"/>
      <c r="B6" s="8">
        <v>4</v>
      </c>
      <c r="C6" s="4" t="s">
        <v>30</v>
      </c>
      <c r="D6" s="4" t="s">
        <v>31</v>
      </c>
      <c r="E6" s="4" t="s">
        <v>34</v>
      </c>
      <c r="F6" s="4" t="s">
        <v>31</v>
      </c>
      <c r="G6" s="4" t="s">
        <v>31</v>
      </c>
      <c r="H6" s="4" t="s">
        <v>39</v>
      </c>
      <c r="I6" s="4" t="s">
        <v>34</v>
      </c>
      <c r="J6" s="5" t="s">
        <v>55</v>
      </c>
      <c r="K6" s="4" t="s">
        <v>34</v>
      </c>
      <c r="L6" s="4" t="s">
        <v>46</v>
      </c>
      <c r="M6" s="4" t="s">
        <v>44</v>
      </c>
      <c r="N6" s="4" t="s">
        <v>34</v>
      </c>
      <c r="O6" s="4" t="s">
        <v>47</v>
      </c>
      <c r="P6" s="4" t="s">
        <v>33</v>
      </c>
      <c r="Q6" s="4" t="s">
        <v>34</v>
      </c>
      <c r="R6" s="4" t="s">
        <v>34</v>
      </c>
      <c r="S6" s="4" t="s">
        <v>39</v>
      </c>
      <c r="T6" s="4" t="s">
        <v>39</v>
      </c>
      <c r="U6" s="4" t="s">
        <v>48</v>
      </c>
    </row>
    <row r="7" spans="1:21" x14ac:dyDescent="0.25">
      <c r="A7" s="9"/>
      <c r="B7" s="8">
        <v>5</v>
      </c>
      <c r="C7" s="4" t="s">
        <v>30</v>
      </c>
      <c r="D7" s="4" t="s">
        <v>31</v>
      </c>
      <c r="E7" s="4" t="s">
        <v>34</v>
      </c>
      <c r="F7" s="5" t="s">
        <v>46</v>
      </c>
      <c r="G7" s="4" t="s">
        <v>31</v>
      </c>
      <c r="H7" s="4" t="s">
        <v>39</v>
      </c>
      <c r="I7" s="4" t="s">
        <v>34</v>
      </c>
      <c r="J7" s="4" t="s">
        <v>33</v>
      </c>
      <c r="K7" s="4" t="s">
        <v>34</v>
      </c>
      <c r="L7" s="4" t="s">
        <v>46</v>
      </c>
      <c r="M7" s="4" t="s">
        <v>44</v>
      </c>
      <c r="N7" s="4" t="s">
        <v>34</v>
      </c>
      <c r="O7" s="4" t="s">
        <v>47</v>
      </c>
      <c r="P7" s="4" t="s">
        <v>33</v>
      </c>
      <c r="Q7" s="4" t="s">
        <v>34</v>
      </c>
      <c r="R7" s="5" t="s">
        <v>10</v>
      </c>
      <c r="S7" s="4" t="s">
        <v>39</v>
      </c>
      <c r="T7" s="4" t="s">
        <v>39</v>
      </c>
      <c r="U7" s="4" t="s">
        <v>48</v>
      </c>
    </row>
    <row r="8" spans="1:21" x14ac:dyDescent="0.25">
      <c r="A8" s="9"/>
      <c r="B8" s="8">
        <v>6</v>
      </c>
      <c r="C8" s="4" t="s">
        <v>30</v>
      </c>
      <c r="D8" s="4" t="s">
        <v>31</v>
      </c>
      <c r="E8" s="4" t="s">
        <v>34</v>
      </c>
      <c r="F8" s="5" t="s">
        <v>46</v>
      </c>
      <c r="G8" s="4" t="s">
        <v>31</v>
      </c>
      <c r="H8" s="4" t="s">
        <v>39</v>
      </c>
      <c r="I8" s="4" t="s">
        <v>34</v>
      </c>
      <c r="J8" s="4" t="s">
        <v>33</v>
      </c>
      <c r="K8" s="4" t="s">
        <v>34</v>
      </c>
      <c r="L8" s="4" t="s">
        <v>46</v>
      </c>
      <c r="M8" s="4" t="s">
        <v>44</v>
      </c>
      <c r="N8" s="4" t="s">
        <v>34</v>
      </c>
      <c r="O8" s="4" t="s">
        <v>47</v>
      </c>
      <c r="P8" s="4" t="s">
        <v>33</v>
      </c>
      <c r="Q8" s="4" t="s">
        <v>34</v>
      </c>
      <c r="R8" s="4" t="s">
        <v>34</v>
      </c>
      <c r="S8" s="5" t="s">
        <v>42</v>
      </c>
      <c r="T8" s="4" t="s">
        <v>39</v>
      </c>
      <c r="U8" s="4" t="s">
        <v>48</v>
      </c>
    </row>
    <row r="9" spans="1:21" x14ac:dyDescent="0.25">
      <c r="A9" s="9"/>
      <c r="B9" s="8">
        <v>7</v>
      </c>
      <c r="C9" s="4" t="s">
        <v>30</v>
      </c>
      <c r="D9" s="4" t="s">
        <v>31</v>
      </c>
      <c r="E9" s="4" t="s">
        <v>34</v>
      </c>
      <c r="F9" s="5" t="s">
        <v>46</v>
      </c>
      <c r="G9" s="4" t="s">
        <v>31</v>
      </c>
      <c r="H9" s="4" t="s">
        <v>39</v>
      </c>
      <c r="I9" s="4" t="s">
        <v>34</v>
      </c>
      <c r="J9" s="4" t="s">
        <v>33</v>
      </c>
      <c r="K9" s="4" t="s">
        <v>34</v>
      </c>
      <c r="L9" s="4" t="s">
        <v>46</v>
      </c>
      <c r="M9" s="4" t="s">
        <v>44</v>
      </c>
      <c r="N9" s="4" t="s">
        <v>34</v>
      </c>
      <c r="O9" s="4" t="s">
        <v>47</v>
      </c>
      <c r="P9" s="4" t="s">
        <v>33</v>
      </c>
      <c r="Q9" s="4" t="s">
        <v>34</v>
      </c>
      <c r="R9" s="4" t="s">
        <v>34</v>
      </c>
      <c r="S9" s="4" t="s">
        <v>39</v>
      </c>
      <c r="T9" s="4" t="s">
        <v>39</v>
      </c>
      <c r="U9" s="5" t="s">
        <v>50</v>
      </c>
    </row>
    <row r="10" spans="1:21" x14ac:dyDescent="0.25">
      <c r="A10" s="9"/>
      <c r="B10" s="8">
        <v>8</v>
      </c>
      <c r="C10" s="4" t="s">
        <v>30</v>
      </c>
      <c r="D10" s="4" t="s">
        <v>31</v>
      </c>
      <c r="E10" s="4" t="s">
        <v>34</v>
      </c>
      <c r="F10" s="4" t="s">
        <v>31</v>
      </c>
      <c r="G10" s="4" t="s">
        <v>31</v>
      </c>
      <c r="H10" s="5" t="s">
        <v>43</v>
      </c>
      <c r="I10" s="4" t="s">
        <v>34</v>
      </c>
      <c r="J10" s="4" t="s">
        <v>33</v>
      </c>
      <c r="K10" s="4" t="s">
        <v>34</v>
      </c>
      <c r="L10" s="4" t="s">
        <v>46</v>
      </c>
      <c r="M10" s="4" t="s">
        <v>44</v>
      </c>
      <c r="N10" s="4" t="s">
        <v>34</v>
      </c>
      <c r="O10" s="4" t="s">
        <v>47</v>
      </c>
      <c r="P10" s="4" t="s">
        <v>33</v>
      </c>
      <c r="Q10" s="4" t="s">
        <v>34</v>
      </c>
      <c r="R10" s="5" t="s">
        <v>10</v>
      </c>
      <c r="S10" s="4" t="s">
        <v>39</v>
      </c>
      <c r="T10" s="4" t="s">
        <v>39</v>
      </c>
      <c r="U10" s="4" t="s">
        <v>48</v>
      </c>
    </row>
    <row r="11" spans="1:21" x14ac:dyDescent="0.25">
      <c r="A11" s="9" t="s">
        <v>14</v>
      </c>
      <c r="B11" s="7" t="s">
        <v>16</v>
      </c>
      <c r="C11" s="4" t="s">
        <v>30</v>
      </c>
      <c r="D11" s="4" t="s">
        <v>31</v>
      </c>
      <c r="E11" s="4" t="s">
        <v>34</v>
      </c>
      <c r="F11" s="4" t="s">
        <v>31</v>
      </c>
      <c r="G11" s="4" t="s">
        <v>31</v>
      </c>
      <c r="H11" s="4" t="s">
        <v>39</v>
      </c>
      <c r="I11" s="4" t="s">
        <v>34</v>
      </c>
      <c r="J11" s="4" t="s">
        <v>33</v>
      </c>
      <c r="K11" s="4" t="s">
        <v>34</v>
      </c>
      <c r="L11" s="4" t="s">
        <v>46</v>
      </c>
      <c r="M11" s="4" t="s">
        <v>44</v>
      </c>
      <c r="N11" s="4" t="s">
        <v>34</v>
      </c>
      <c r="O11" s="4" t="s">
        <v>47</v>
      </c>
      <c r="P11" s="4" t="s">
        <v>33</v>
      </c>
      <c r="Q11" s="4" t="s">
        <v>34</v>
      </c>
      <c r="R11" s="5" t="s">
        <v>10</v>
      </c>
      <c r="S11" s="4" t="s">
        <v>39</v>
      </c>
      <c r="T11" s="4" t="s">
        <v>39</v>
      </c>
      <c r="U11" s="4" t="s">
        <v>48</v>
      </c>
    </row>
    <row r="12" spans="1:21" x14ac:dyDescent="0.25">
      <c r="A12" s="9"/>
      <c r="B12" s="8">
        <v>9</v>
      </c>
      <c r="C12" s="4" t="s">
        <v>30</v>
      </c>
      <c r="D12" s="4" t="s">
        <v>31</v>
      </c>
      <c r="E12" s="4" t="s">
        <v>34</v>
      </c>
      <c r="F12" s="4" t="s">
        <v>31</v>
      </c>
      <c r="G12" s="4" t="s">
        <v>31</v>
      </c>
      <c r="H12" s="4" t="s">
        <v>39</v>
      </c>
      <c r="I12" s="4" t="s">
        <v>34</v>
      </c>
      <c r="J12" s="4" t="s">
        <v>33</v>
      </c>
      <c r="K12" s="4" t="s">
        <v>34</v>
      </c>
      <c r="L12" s="4" t="s">
        <v>46</v>
      </c>
      <c r="M12" s="4" t="s">
        <v>44</v>
      </c>
      <c r="N12" s="4" t="s">
        <v>34</v>
      </c>
      <c r="O12" s="4" t="s">
        <v>47</v>
      </c>
      <c r="P12" s="4" t="s">
        <v>33</v>
      </c>
      <c r="Q12" s="4" t="s">
        <v>34</v>
      </c>
      <c r="R12" s="4" t="s">
        <v>34</v>
      </c>
      <c r="S12" s="5" t="s">
        <v>42</v>
      </c>
      <c r="T12" s="4" t="s">
        <v>39</v>
      </c>
      <c r="U12" s="4" t="s">
        <v>48</v>
      </c>
    </row>
    <row r="13" spans="1:21" x14ac:dyDescent="0.25">
      <c r="A13" s="9"/>
      <c r="B13" s="8">
        <v>10</v>
      </c>
      <c r="C13" s="4" t="s">
        <v>30</v>
      </c>
      <c r="D13" s="4" t="s">
        <v>31</v>
      </c>
      <c r="E13" s="4" t="s">
        <v>34</v>
      </c>
      <c r="F13" s="4" t="s">
        <v>31</v>
      </c>
      <c r="G13" s="4" t="s">
        <v>31</v>
      </c>
      <c r="H13" s="4" t="s">
        <v>39</v>
      </c>
      <c r="I13" s="4" t="s">
        <v>34</v>
      </c>
      <c r="J13" s="4" t="s">
        <v>33</v>
      </c>
      <c r="K13" s="4" t="s">
        <v>34</v>
      </c>
      <c r="L13" s="4" t="s">
        <v>46</v>
      </c>
      <c r="M13" s="4" t="s">
        <v>44</v>
      </c>
      <c r="N13" s="4" t="s">
        <v>34</v>
      </c>
      <c r="O13" s="4" t="s">
        <v>47</v>
      </c>
      <c r="P13" s="4" t="s">
        <v>33</v>
      </c>
      <c r="Q13" s="4" t="s">
        <v>34</v>
      </c>
      <c r="R13" s="5" t="s">
        <v>10</v>
      </c>
      <c r="S13" s="4" t="s">
        <v>39</v>
      </c>
      <c r="T13" s="4" t="s">
        <v>39</v>
      </c>
      <c r="U13" s="5" t="s">
        <v>13</v>
      </c>
    </row>
    <row r="14" spans="1:21" x14ac:dyDescent="0.25">
      <c r="A14" s="9"/>
      <c r="B14" s="8">
        <v>11</v>
      </c>
      <c r="C14" s="4" t="s">
        <v>30</v>
      </c>
      <c r="D14" s="4" t="s">
        <v>31</v>
      </c>
      <c r="E14" s="4" t="s">
        <v>34</v>
      </c>
      <c r="F14" s="4" t="s">
        <v>31</v>
      </c>
      <c r="G14" s="4" t="s">
        <v>31</v>
      </c>
      <c r="H14" s="4" t="s">
        <v>39</v>
      </c>
      <c r="I14" s="4" t="s">
        <v>34</v>
      </c>
      <c r="J14" s="5" t="s">
        <v>55</v>
      </c>
      <c r="K14" s="4" t="s">
        <v>34</v>
      </c>
      <c r="L14" s="4" t="s">
        <v>46</v>
      </c>
      <c r="M14" s="4" t="s">
        <v>44</v>
      </c>
      <c r="N14" s="4" t="s">
        <v>34</v>
      </c>
      <c r="O14" s="4" t="s">
        <v>47</v>
      </c>
      <c r="P14" s="4" t="s">
        <v>33</v>
      </c>
      <c r="Q14" s="4" t="s">
        <v>34</v>
      </c>
      <c r="R14" s="5" t="s">
        <v>10</v>
      </c>
      <c r="S14" s="4" t="s">
        <v>39</v>
      </c>
      <c r="T14" s="4" t="s">
        <v>39</v>
      </c>
      <c r="U14" s="4" t="s">
        <v>48</v>
      </c>
    </row>
    <row r="15" spans="1:21" x14ac:dyDescent="0.25">
      <c r="A15" s="9"/>
      <c r="B15" s="8">
        <v>12</v>
      </c>
      <c r="C15" s="4" t="s">
        <v>30</v>
      </c>
      <c r="D15" s="4" t="s">
        <v>31</v>
      </c>
      <c r="E15" s="4" t="s">
        <v>34</v>
      </c>
      <c r="F15" s="5" t="s">
        <v>46</v>
      </c>
      <c r="G15" s="4" t="s">
        <v>31</v>
      </c>
      <c r="H15" s="4" t="s">
        <v>39</v>
      </c>
      <c r="I15" s="4" t="s">
        <v>34</v>
      </c>
      <c r="J15" s="4" t="s">
        <v>33</v>
      </c>
      <c r="K15" s="4" t="s">
        <v>34</v>
      </c>
      <c r="L15" s="4" t="s">
        <v>46</v>
      </c>
      <c r="M15" s="4" t="s">
        <v>44</v>
      </c>
      <c r="N15" s="4" t="s">
        <v>34</v>
      </c>
      <c r="O15" s="4" t="s">
        <v>47</v>
      </c>
      <c r="P15" s="4" t="s">
        <v>33</v>
      </c>
      <c r="Q15" s="4" t="s">
        <v>34</v>
      </c>
      <c r="R15" s="5" t="s">
        <v>10</v>
      </c>
      <c r="S15" s="4" t="s">
        <v>39</v>
      </c>
      <c r="T15" s="4" t="s">
        <v>39</v>
      </c>
      <c r="U15" s="5" t="s">
        <v>50</v>
      </c>
    </row>
    <row r="16" spans="1:21" x14ac:dyDescent="0.25">
      <c r="A16" s="9"/>
      <c r="B16" s="8">
        <v>13</v>
      </c>
      <c r="C16" s="4" t="s">
        <v>30</v>
      </c>
      <c r="D16" s="4" t="s">
        <v>31</v>
      </c>
      <c r="E16" s="4" t="s">
        <v>34</v>
      </c>
      <c r="F16" s="4" t="s">
        <v>31</v>
      </c>
      <c r="G16" s="4" t="s">
        <v>31</v>
      </c>
      <c r="H16" s="5" t="s">
        <v>34</v>
      </c>
      <c r="I16" s="5" t="s">
        <v>39</v>
      </c>
      <c r="J16" s="4" t="s">
        <v>33</v>
      </c>
      <c r="K16" s="4" t="s">
        <v>34</v>
      </c>
      <c r="L16" s="4" t="s">
        <v>46</v>
      </c>
      <c r="M16" s="5" t="s">
        <v>53</v>
      </c>
      <c r="N16" s="4" t="s">
        <v>34</v>
      </c>
      <c r="O16" s="4" t="s">
        <v>47</v>
      </c>
      <c r="P16" s="4" t="s">
        <v>33</v>
      </c>
      <c r="Q16" s="4" t="s">
        <v>34</v>
      </c>
      <c r="R16" s="4" t="s">
        <v>34</v>
      </c>
      <c r="S16" s="4" t="s">
        <v>39</v>
      </c>
      <c r="T16" s="4" t="s">
        <v>39</v>
      </c>
      <c r="U16" s="4" t="s">
        <v>48</v>
      </c>
    </row>
    <row r="17" spans="1:21" x14ac:dyDescent="0.25">
      <c r="A17" s="9" t="s">
        <v>15</v>
      </c>
      <c r="B17" s="8">
        <v>14</v>
      </c>
      <c r="C17" s="4" t="s">
        <v>30</v>
      </c>
      <c r="D17" s="4" t="s">
        <v>31</v>
      </c>
      <c r="E17" s="4" t="s">
        <v>34</v>
      </c>
      <c r="F17" s="4" t="s">
        <v>31</v>
      </c>
      <c r="G17" s="4" t="s">
        <v>31</v>
      </c>
      <c r="H17" s="4" t="s">
        <v>39</v>
      </c>
      <c r="I17" s="4" t="s">
        <v>34</v>
      </c>
      <c r="J17" s="4" t="s">
        <v>33</v>
      </c>
      <c r="K17" s="4" t="s">
        <v>34</v>
      </c>
      <c r="L17" s="4" t="s">
        <v>46</v>
      </c>
      <c r="M17" s="4" t="s">
        <v>44</v>
      </c>
      <c r="N17" s="4" t="s">
        <v>34</v>
      </c>
      <c r="O17" s="4" t="s">
        <v>47</v>
      </c>
      <c r="P17" s="4" t="s">
        <v>33</v>
      </c>
      <c r="Q17" s="4" t="s">
        <v>34</v>
      </c>
      <c r="R17" s="4" t="s">
        <v>34</v>
      </c>
      <c r="S17" s="4" t="s">
        <v>39</v>
      </c>
      <c r="T17" s="4" t="s">
        <v>39</v>
      </c>
      <c r="U17" s="5" t="s">
        <v>50</v>
      </c>
    </row>
    <row r="18" spans="1:21" x14ac:dyDescent="0.25">
      <c r="A18" s="9"/>
      <c r="B18" s="8">
        <v>15</v>
      </c>
      <c r="C18" s="4" t="s">
        <v>30</v>
      </c>
      <c r="D18" s="4" t="s">
        <v>31</v>
      </c>
      <c r="E18" s="4" t="s">
        <v>34</v>
      </c>
      <c r="F18" s="4" t="s">
        <v>31</v>
      </c>
      <c r="G18" s="5" t="s">
        <v>34</v>
      </c>
      <c r="H18" s="4" t="s">
        <v>39</v>
      </c>
      <c r="I18" s="4" t="s">
        <v>34</v>
      </c>
      <c r="J18" s="4" t="s">
        <v>33</v>
      </c>
      <c r="K18" s="4" t="s">
        <v>34</v>
      </c>
      <c r="L18" s="4" t="s">
        <v>46</v>
      </c>
      <c r="M18" s="4" t="s">
        <v>44</v>
      </c>
      <c r="N18" s="4" t="s">
        <v>34</v>
      </c>
      <c r="O18" s="4" t="s">
        <v>47</v>
      </c>
      <c r="P18" s="4" t="s">
        <v>33</v>
      </c>
      <c r="Q18" s="4" t="s">
        <v>34</v>
      </c>
      <c r="R18" s="4" t="s">
        <v>34</v>
      </c>
      <c r="S18" s="4" t="s">
        <v>39</v>
      </c>
      <c r="T18" s="4" t="s">
        <v>39</v>
      </c>
      <c r="U18" s="4" t="s">
        <v>48</v>
      </c>
    </row>
    <row r="19" spans="1:21" x14ac:dyDescent="0.25">
      <c r="A19" s="9"/>
      <c r="B19" s="8">
        <v>16</v>
      </c>
      <c r="C19" s="4" t="s">
        <v>30</v>
      </c>
      <c r="D19" s="4" t="s">
        <v>31</v>
      </c>
      <c r="E19" s="4" t="s">
        <v>34</v>
      </c>
      <c r="F19" s="4" t="s">
        <v>31</v>
      </c>
      <c r="G19" s="5" t="s">
        <v>34</v>
      </c>
      <c r="H19" s="4" t="s">
        <v>39</v>
      </c>
      <c r="I19" s="4" t="s">
        <v>34</v>
      </c>
      <c r="J19" s="4" t="s">
        <v>33</v>
      </c>
      <c r="K19" s="4" t="s">
        <v>34</v>
      </c>
      <c r="L19" s="4" t="s">
        <v>46</v>
      </c>
      <c r="M19" s="4" t="s">
        <v>44</v>
      </c>
      <c r="N19" s="4" t="s">
        <v>34</v>
      </c>
      <c r="O19" s="4" t="s">
        <v>47</v>
      </c>
      <c r="P19" s="4" t="s">
        <v>33</v>
      </c>
      <c r="Q19" s="4" t="s">
        <v>34</v>
      </c>
      <c r="R19" s="5" t="s">
        <v>10</v>
      </c>
      <c r="S19" s="4" t="s">
        <v>39</v>
      </c>
      <c r="T19" s="4" t="s">
        <v>39</v>
      </c>
      <c r="U19" s="4" t="s">
        <v>48</v>
      </c>
    </row>
    <row r="20" spans="1:21" x14ac:dyDescent="0.25">
      <c r="A20" s="9"/>
      <c r="B20" s="8">
        <v>17</v>
      </c>
      <c r="C20" s="4" t="s">
        <v>30</v>
      </c>
      <c r="D20" s="4" t="s">
        <v>31</v>
      </c>
      <c r="E20" s="4" t="s">
        <v>34</v>
      </c>
      <c r="F20" s="4" t="s">
        <v>31</v>
      </c>
      <c r="G20" s="4" t="s">
        <v>31</v>
      </c>
      <c r="H20" s="4" t="s">
        <v>39</v>
      </c>
      <c r="I20" s="4" t="s">
        <v>34</v>
      </c>
      <c r="J20" s="4" t="s">
        <v>33</v>
      </c>
      <c r="K20" s="4" t="s">
        <v>34</v>
      </c>
      <c r="L20" s="4" t="s">
        <v>46</v>
      </c>
      <c r="M20" s="4" t="s">
        <v>44</v>
      </c>
      <c r="N20" s="4" t="s">
        <v>34</v>
      </c>
      <c r="O20" s="4" t="s">
        <v>47</v>
      </c>
      <c r="P20" s="4" t="s">
        <v>33</v>
      </c>
      <c r="Q20" s="4" t="s">
        <v>34</v>
      </c>
      <c r="R20" s="4" t="s">
        <v>34</v>
      </c>
      <c r="S20" s="5" t="s">
        <v>43</v>
      </c>
      <c r="T20" s="4" t="s">
        <v>39</v>
      </c>
      <c r="U20" s="4" t="s">
        <v>48</v>
      </c>
    </row>
    <row r="21" spans="1:21" x14ac:dyDescent="0.25">
      <c r="A21" s="9"/>
      <c r="B21" s="8">
        <v>18</v>
      </c>
      <c r="C21" s="4" t="s">
        <v>30</v>
      </c>
      <c r="D21" s="4" t="s">
        <v>31</v>
      </c>
      <c r="E21" s="4" t="s">
        <v>34</v>
      </c>
      <c r="F21" s="4" t="s">
        <v>31</v>
      </c>
      <c r="G21" s="4" t="s">
        <v>31</v>
      </c>
      <c r="H21" s="4" t="s">
        <v>39</v>
      </c>
      <c r="I21" s="4" t="s">
        <v>34</v>
      </c>
      <c r="J21" s="4" t="s">
        <v>33</v>
      </c>
      <c r="K21" s="4" t="s">
        <v>34</v>
      </c>
      <c r="L21" s="4" t="s">
        <v>46</v>
      </c>
      <c r="M21" s="4" t="s">
        <v>44</v>
      </c>
      <c r="N21" s="4" t="s">
        <v>34</v>
      </c>
      <c r="O21" s="4" t="s">
        <v>47</v>
      </c>
      <c r="P21" s="4" t="s">
        <v>33</v>
      </c>
      <c r="Q21" s="4" t="s">
        <v>34</v>
      </c>
      <c r="R21" s="5" t="s">
        <v>10</v>
      </c>
      <c r="S21" s="5" t="s">
        <v>42</v>
      </c>
      <c r="T21" s="4" t="s">
        <v>39</v>
      </c>
      <c r="U21" s="4" t="s">
        <v>48</v>
      </c>
    </row>
    <row r="22" spans="1:21" x14ac:dyDescent="0.25">
      <c r="A22" s="9"/>
      <c r="B22" s="8">
        <v>19</v>
      </c>
      <c r="C22" s="4" t="s">
        <v>30</v>
      </c>
      <c r="D22" s="4" t="s">
        <v>31</v>
      </c>
      <c r="E22" s="4" t="s">
        <v>34</v>
      </c>
      <c r="F22" s="4" t="s">
        <v>31</v>
      </c>
      <c r="G22" s="4" t="s">
        <v>31</v>
      </c>
      <c r="H22" s="5" t="s">
        <v>43</v>
      </c>
      <c r="I22" s="4" t="s">
        <v>34</v>
      </c>
      <c r="J22" s="4" t="s">
        <v>33</v>
      </c>
      <c r="K22" s="4" t="s">
        <v>34</v>
      </c>
      <c r="L22" s="4" t="s">
        <v>46</v>
      </c>
      <c r="M22" s="4" t="s">
        <v>44</v>
      </c>
      <c r="N22" s="4" t="s">
        <v>34</v>
      </c>
      <c r="O22" s="4" t="s">
        <v>47</v>
      </c>
      <c r="P22" s="4" t="s">
        <v>33</v>
      </c>
      <c r="Q22" s="4" t="s">
        <v>34</v>
      </c>
      <c r="R22" s="4" t="s">
        <v>34</v>
      </c>
      <c r="S22" s="5" t="s">
        <v>43</v>
      </c>
      <c r="T22" s="4" t="s">
        <v>39</v>
      </c>
      <c r="U22" s="4" t="s">
        <v>48</v>
      </c>
    </row>
    <row r="23" spans="1:21" x14ac:dyDescent="0.25">
      <c r="A23" s="9"/>
      <c r="B23" s="8">
        <v>20</v>
      </c>
      <c r="C23" s="4" t="s">
        <v>30</v>
      </c>
      <c r="D23" s="4" t="s">
        <v>31</v>
      </c>
      <c r="E23" s="4" t="s">
        <v>34</v>
      </c>
      <c r="F23" s="4" t="s">
        <v>31</v>
      </c>
      <c r="G23" s="4" t="s">
        <v>31</v>
      </c>
      <c r="H23" s="5" t="s">
        <v>43</v>
      </c>
      <c r="I23" s="4" t="s">
        <v>34</v>
      </c>
      <c r="J23" s="4" t="s">
        <v>33</v>
      </c>
      <c r="K23" s="4" t="s">
        <v>34</v>
      </c>
      <c r="L23" s="4" t="s">
        <v>46</v>
      </c>
      <c r="M23" s="4" t="s">
        <v>44</v>
      </c>
      <c r="N23" s="4" t="s">
        <v>34</v>
      </c>
      <c r="O23" s="4" t="s">
        <v>47</v>
      </c>
      <c r="P23" s="4" t="s">
        <v>33</v>
      </c>
      <c r="Q23" s="4" t="s">
        <v>34</v>
      </c>
      <c r="R23" s="5" t="s">
        <v>10</v>
      </c>
      <c r="S23" s="4" t="s">
        <v>39</v>
      </c>
      <c r="T23" s="4" t="s">
        <v>39</v>
      </c>
      <c r="U23" s="5" t="s">
        <v>50</v>
      </c>
    </row>
    <row r="24" spans="1:21" x14ac:dyDescent="0.25">
      <c r="A24" s="9"/>
      <c r="B24" s="8">
        <v>21</v>
      </c>
      <c r="C24" s="4" t="s">
        <v>30</v>
      </c>
      <c r="D24" s="4" t="s">
        <v>31</v>
      </c>
      <c r="E24" s="4" t="s">
        <v>34</v>
      </c>
      <c r="F24" s="4" t="s">
        <v>31</v>
      </c>
      <c r="G24" s="5" t="s">
        <v>34</v>
      </c>
      <c r="H24" s="4" t="s">
        <v>39</v>
      </c>
      <c r="I24" s="4" t="s">
        <v>34</v>
      </c>
      <c r="J24" s="4" t="s">
        <v>33</v>
      </c>
      <c r="K24" s="4" t="s">
        <v>34</v>
      </c>
      <c r="L24" s="4" t="s">
        <v>46</v>
      </c>
      <c r="M24" s="4" t="s">
        <v>44</v>
      </c>
      <c r="N24" s="4" t="s">
        <v>34</v>
      </c>
      <c r="O24" s="4" t="s">
        <v>47</v>
      </c>
      <c r="P24" s="4" t="s">
        <v>33</v>
      </c>
      <c r="Q24" s="4" t="s">
        <v>34</v>
      </c>
      <c r="R24" s="5" t="s">
        <v>10</v>
      </c>
      <c r="S24" s="5" t="s">
        <v>43</v>
      </c>
      <c r="T24" s="4" t="s">
        <v>39</v>
      </c>
      <c r="U24" s="4" t="s">
        <v>48</v>
      </c>
    </row>
    <row r="25" spans="1:21" x14ac:dyDescent="0.25">
      <c r="A25" s="9" t="s">
        <v>17</v>
      </c>
      <c r="B25" s="8">
        <v>22</v>
      </c>
      <c r="C25" s="4" t="s">
        <v>30</v>
      </c>
      <c r="D25" s="4" t="s">
        <v>31</v>
      </c>
      <c r="E25" s="4" t="s">
        <v>34</v>
      </c>
      <c r="F25" s="4" t="s">
        <v>31</v>
      </c>
      <c r="G25" s="4" t="s">
        <v>31</v>
      </c>
      <c r="H25" s="4" t="s">
        <v>39</v>
      </c>
      <c r="I25" s="4" t="s">
        <v>34</v>
      </c>
      <c r="J25" s="4" t="s">
        <v>33</v>
      </c>
      <c r="K25" s="4" t="s">
        <v>34</v>
      </c>
      <c r="L25" s="4" t="s">
        <v>46</v>
      </c>
      <c r="M25" s="4" t="s">
        <v>44</v>
      </c>
      <c r="N25" s="4" t="s">
        <v>34</v>
      </c>
      <c r="O25" s="4" t="s">
        <v>47</v>
      </c>
      <c r="P25" s="4" t="s">
        <v>33</v>
      </c>
      <c r="Q25" s="4" t="s">
        <v>34</v>
      </c>
      <c r="R25" s="5" t="s">
        <v>10</v>
      </c>
      <c r="S25" s="5" t="s">
        <v>43</v>
      </c>
      <c r="T25" s="4" t="s">
        <v>39</v>
      </c>
      <c r="U25" s="4" t="s">
        <v>48</v>
      </c>
    </row>
    <row r="26" spans="1:21" x14ac:dyDescent="0.25">
      <c r="A26" s="9"/>
      <c r="B26" s="8">
        <v>23</v>
      </c>
      <c r="C26" s="4" t="s">
        <v>30</v>
      </c>
      <c r="D26" s="4" t="s">
        <v>31</v>
      </c>
      <c r="E26" s="4" t="s">
        <v>34</v>
      </c>
      <c r="F26" s="4" t="s">
        <v>31</v>
      </c>
      <c r="G26" s="4" t="s">
        <v>31</v>
      </c>
      <c r="H26" s="4" t="s">
        <v>39</v>
      </c>
      <c r="I26" s="4" t="s">
        <v>34</v>
      </c>
      <c r="J26" s="4" t="s">
        <v>33</v>
      </c>
      <c r="K26" s="4" t="s">
        <v>34</v>
      </c>
      <c r="L26" s="4" t="s">
        <v>46</v>
      </c>
      <c r="M26" s="4" t="s">
        <v>44</v>
      </c>
      <c r="N26" s="4" t="s">
        <v>34</v>
      </c>
      <c r="O26" s="4" t="s">
        <v>47</v>
      </c>
      <c r="P26" s="4" t="s">
        <v>33</v>
      </c>
      <c r="Q26" s="4" t="s">
        <v>34</v>
      </c>
      <c r="R26" s="4" t="s">
        <v>34</v>
      </c>
      <c r="S26" s="5" t="s">
        <v>42</v>
      </c>
      <c r="T26" s="4" t="s">
        <v>39</v>
      </c>
      <c r="U26" s="5" t="s">
        <v>50</v>
      </c>
    </row>
    <row r="27" spans="1:21" x14ac:dyDescent="0.25">
      <c r="A27" s="9"/>
      <c r="B27" s="8">
        <v>24</v>
      </c>
      <c r="C27" s="4" t="s">
        <v>30</v>
      </c>
      <c r="D27" s="4" t="s">
        <v>31</v>
      </c>
      <c r="E27" s="4" t="s">
        <v>34</v>
      </c>
      <c r="F27" s="4" t="s">
        <v>31</v>
      </c>
      <c r="G27" s="4" t="s">
        <v>31</v>
      </c>
      <c r="H27" s="4" t="s">
        <v>39</v>
      </c>
      <c r="I27" s="4" t="s">
        <v>34</v>
      </c>
      <c r="J27" s="4" t="s">
        <v>33</v>
      </c>
      <c r="K27" s="4" t="s">
        <v>34</v>
      </c>
      <c r="L27" s="4" t="s">
        <v>46</v>
      </c>
      <c r="M27" s="4" t="s">
        <v>44</v>
      </c>
      <c r="N27" s="4" t="s">
        <v>34</v>
      </c>
      <c r="O27" s="4" t="s">
        <v>47</v>
      </c>
      <c r="P27" s="4" t="s">
        <v>33</v>
      </c>
      <c r="Q27" s="4" t="s">
        <v>34</v>
      </c>
      <c r="R27" s="5" t="s">
        <v>10</v>
      </c>
      <c r="S27" s="4" t="s">
        <v>39</v>
      </c>
      <c r="T27" s="4" t="s">
        <v>39</v>
      </c>
      <c r="U27" s="5" t="s">
        <v>50</v>
      </c>
    </row>
    <row r="28" spans="1:21" x14ac:dyDescent="0.25">
      <c r="A28" s="9"/>
      <c r="B28" s="8">
        <v>25</v>
      </c>
      <c r="C28" s="4" t="s">
        <v>30</v>
      </c>
      <c r="D28" s="4" t="s">
        <v>31</v>
      </c>
      <c r="E28" s="4" t="s">
        <v>34</v>
      </c>
      <c r="F28" s="4" t="s">
        <v>31</v>
      </c>
      <c r="G28" s="4" t="s">
        <v>31</v>
      </c>
      <c r="H28" s="5" t="s">
        <v>42</v>
      </c>
      <c r="I28" s="4" t="s">
        <v>34</v>
      </c>
      <c r="J28" s="4" t="s">
        <v>33</v>
      </c>
      <c r="K28" s="4" t="s">
        <v>34</v>
      </c>
      <c r="L28" s="4" t="s">
        <v>46</v>
      </c>
      <c r="M28" s="4" t="s">
        <v>44</v>
      </c>
      <c r="N28" s="4" t="s">
        <v>34</v>
      </c>
      <c r="O28" s="4" t="s">
        <v>47</v>
      </c>
      <c r="P28" s="4" t="s">
        <v>33</v>
      </c>
      <c r="Q28" s="4" t="s">
        <v>34</v>
      </c>
      <c r="R28" s="4" t="s">
        <v>34</v>
      </c>
      <c r="S28" s="5" t="s">
        <v>42</v>
      </c>
      <c r="T28" s="4" t="s">
        <v>39</v>
      </c>
      <c r="U28" s="4" t="s">
        <v>48</v>
      </c>
    </row>
    <row r="29" spans="1:21" x14ac:dyDescent="0.25">
      <c r="A29" s="9"/>
      <c r="B29" s="8">
        <v>26</v>
      </c>
      <c r="C29" s="4" t="s">
        <v>30</v>
      </c>
      <c r="D29" s="4" t="s">
        <v>31</v>
      </c>
      <c r="E29" s="4" t="s">
        <v>34</v>
      </c>
      <c r="F29" s="4" t="s">
        <v>31</v>
      </c>
      <c r="G29" s="4" t="s">
        <v>31</v>
      </c>
      <c r="H29" s="4" t="s">
        <v>39</v>
      </c>
      <c r="I29" s="4" t="s">
        <v>34</v>
      </c>
      <c r="J29" s="5" t="s">
        <v>55</v>
      </c>
      <c r="K29" s="4" t="s">
        <v>34</v>
      </c>
      <c r="L29" s="4" t="s">
        <v>46</v>
      </c>
      <c r="M29" s="4" t="s">
        <v>44</v>
      </c>
      <c r="N29" s="4" t="s">
        <v>34</v>
      </c>
      <c r="O29" s="4" t="s">
        <v>47</v>
      </c>
      <c r="P29" s="4" t="s">
        <v>33</v>
      </c>
      <c r="Q29" s="4" t="s">
        <v>34</v>
      </c>
      <c r="R29" s="5" t="s">
        <v>10</v>
      </c>
      <c r="S29" s="4" t="s">
        <v>39</v>
      </c>
      <c r="T29" s="4" t="s">
        <v>39</v>
      </c>
      <c r="U29" s="5" t="s">
        <v>50</v>
      </c>
    </row>
    <row r="30" spans="1:21" x14ac:dyDescent="0.25">
      <c r="A30" s="9"/>
      <c r="B30" s="8">
        <v>27</v>
      </c>
      <c r="C30" s="4" t="s">
        <v>30</v>
      </c>
      <c r="D30" s="4" t="s">
        <v>31</v>
      </c>
      <c r="E30" s="4" t="s">
        <v>34</v>
      </c>
      <c r="F30" s="4" t="s">
        <v>31</v>
      </c>
      <c r="G30" s="4" t="s">
        <v>31</v>
      </c>
      <c r="H30" s="4" t="s">
        <v>39</v>
      </c>
      <c r="I30" s="4" t="s">
        <v>34</v>
      </c>
      <c r="J30" s="4" t="s">
        <v>33</v>
      </c>
      <c r="K30" s="4" t="s">
        <v>34</v>
      </c>
      <c r="L30" s="4" t="s">
        <v>46</v>
      </c>
      <c r="M30" s="4" t="s">
        <v>44</v>
      </c>
      <c r="N30" s="4" t="s">
        <v>34</v>
      </c>
      <c r="O30" s="4" t="s">
        <v>47</v>
      </c>
      <c r="P30" s="4" t="s">
        <v>33</v>
      </c>
      <c r="Q30" s="4" t="s">
        <v>34</v>
      </c>
      <c r="R30" s="4" t="s">
        <v>34</v>
      </c>
      <c r="S30" s="4" t="s">
        <v>39</v>
      </c>
      <c r="T30" s="5" t="s">
        <v>42</v>
      </c>
      <c r="U30" s="5" t="s">
        <v>50</v>
      </c>
    </row>
    <row r="31" spans="1:21" x14ac:dyDescent="0.25">
      <c r="A31" s="9"/>
      <c r="B31" s="8">
        <v>28</v>
      </c>
      <c r="C31" s="4" t="s">
        <v>30</v>
      </c>
      <c r="D31" s="4" t="s">
        <v>31</v>
      </c>
      <c r="E31" s="4" t="s">
        <v>34</v>
      </c>
      <c r="F31" s="4" t="s">
        <v>31</v>
      </c>
      <c r="G31" s="4" t="s">
        <v>31</v>
      </c>
      <c r="H31" s="5" t="s">
        <v>42</v>
      </c>
      <c r="I31" s="4" t="s">
        <v>34</v>
      </c>
      <c r="J31" s="4" t="s">
        <v>33</v>
      </c>
      <c r="K31" s="4" t="s">
        <v>34</v>
      </c>
      <c r="L31" s="4" t="s">
        <v>46</v>
      </c>
      <c r="M31" s="4" t="s">
        <v>44</v>
      </c>
      <c r="N31" s="4" t="s">
        <v>34</v>
      </c>
      <c r="O31" s="4" t="s">
        <v>47</v>
      </c>
      <c r="P31" s="4" t="s">
        <v>33</v>
      </c>
      <c r="Q31" s="4" t="s">
        <v>34</v>
      </c>
      <c r="R31" s="5" t="s">
        <v>10</v>
      </c>
      <c r="S31" s="4" t="s">
        <v>39</v>
      </c>
      <c r="T31" s="4" t="s">
        <v>39</v>
      </c>
      <c r="U31" s="4" t="s">
        <v>48</v>
      </c>
    </row>
    <row r="32" spans="1:21" x14ac:dyDescent="0.25">
      <c r="A32" s="9"/>
      <c r="B32" s="8">
        <v>29</v>
      </c>
      <c r="C32" s="4" t="s">
        <v>30</v>
      </c>
      <c r="D32" s="4" t="s">
        <v>31</v>
      </c>
      <c r="E32" s="4" t="s">
        <v>34</v>
      </c>
      <c r="F32" s="4" t="s">
        <v>31</v>
      </c>
      <c r="G32" s="4" t="s">
        <v>31</v>
      </c>
      <c r="H32" s="4" t="s">
        <v>39</v>
      </c>
      <c r="I32" s="4" t="s">
        <v>34</v>
      </c>
      <c r="J32" s="5" t="s">
        <v>55</v>
      </c>
      <c r="K32" s="4" t="s">
        <v>34</v>
      </c>
      <c r="L32" s="4" t="s">
        <v>46</v>
      </c>
      <c r="M32" s="4" t="s">
        <v>44</v>
      </c>
      <c r="N32" s="4" t="s">
        <v>34</v>
      </c>
      <c r="O32" s="4" t="s">
        <v>47</v>
      </c>
      <c r="P32" s="4" t="s">
        <v>33</v>
      </c>
      <c r="Q32" s="4" t="s">
        <v>34</v>
      </c>
      <c r="R32" s="4" t="s">
        <v>34</v>
      </c>
      <c r="S32" s="5" t="s">
        <v>42</v>
      </c>
      <c r="T32" s="4" t="s">
        <v>39</v>
      </c>
      <c r="U32" s="4" t="s">
        <v>48</v>
      </c>
    </row>
    <row r="33" spans="1:21" x14ac:dyDescent="0.25">
      <c r="A33" s="9"/>
      <c r="B33" s="8">
        <v>30</v>
      </c>
      <c r="C33" s="4" t="s">
        <v>30</v>
      </c>
      <c r="D33" s="4" t="s">
        <v>31</v>
      </c>
      <c r="E33" s="4" t="s">
        <v>34</v>
      </c>
      <c r="F33" s="4" t="s">
        <v>31</v>
      </c>
      <c r="G33" s="4" t="s">
        <v>31</v>
      </c>
      <c r="H33" s="4" t="s">
        <v>39</v>
      </c>
      <c r="I33" s="4" t="s">
        <v>34</v>
      </c>
      <c r="J33" s="4" t="s">
        <v>33</v>
      </c>
      <c r="K33" s="5" t="s">
        <v>31</v>
      </c>
      <c r="L33" s="4" t="s">
        <v>46</v>
      </c>
      <c r="M33" s="4" t="s">
        <v>44</v>
      </c>
      <c r="N33" s="4" t="s">
        <v>34</v>
      </c>
      <c r="O33" s="4" t="s">
        <v>47</v>
      </c>
      <c r="P33" s="5" t="s">
        <v>31</v>
      </c>
      <c r="Q33" s="4" t="s">
        <v>34</v>
      </c>
      <c r="R33" s="5" t="s">
        <v>10</v>
      </c>
      <c r="S33" s="4" t="s">
        <v>39</v>
      </c>
      <c r="T33" s="4" t="s">
        <v>39</v>
      </c>
      <c r="U33" s="4" t="s">
        <v>48</v>
      </c>
    </row>
    <row r="34" spans="1:21" x14ac:dyDescent="0.25">
      <c r="A34" s="9"/>
      <c r="B34" s="8">
        <v>31</v>
      </c>
      <c r="C34" s="4" t="s">
        <v>30</v>
      </c>
      <c r="D34" s="5" t="s">
        <v>53</v>
      </c>
      <c r="E34" s="4" t="s">
        <v>34</v>
      </c>
      <c r="F34" s="4" t="s">
        <v>31</v>
      </c>
      <c r="G34" s="4" t="s">
        <v>31</v>
      </c>
      <c r="H34" s="4" t="s">
        <v>39</v>
      </c>
      <c r="I34" s="4" t="s">
        <v>34</v>
      </c>
      <c r="J34" s="4" t="s">
        <v>33</v>
      </c>
      <c r="K34" s="4" t="s">
        <v>34</v>
      </c>
      <c r="L34" s="4" t="s">
        <v>46</v>
      </c>
      <c r="M34" s="4" t="s">
        <v>44</v>
      </c>
      <c r="N34" s="4" t="s">
        <v>34</v>
      </c>
      <c r="O34" s="4" t="s">
        <v>47</v>
      </c>
      <c r="P34" s="4" t="s">
        <v>33</v>
      </c>
      <c r="Q34" s="4" t="s">
        <v>34</v>
      </c>
      <c r="R34" s="4" t="s">
        <v>34</v>
      </c>
      <c r="S34" s="4" t="s">
        <v>39</v>
      </c>
      <c r="T34" s="4" t="s">
        <v>39</v>
      </c>
      <c r="U34" s="4" t="s">
        <v>48</v>
      </c>
    </row>
    <row r="35" spans="1:21" x14ac:dyDescent="0.25">
      <c r="A35" s="9"/>
      <c r="B35" s="8">
        <v>32</v>
      </c>
      <c r="C35" s="4" t="s">
        <v>30</v>
      </c>
      <c r="D35" s="5" t="s">
        <v>53</v>
      </c>
      <c r="E35" s="4" t="s">
        <v>34</v>
      </c>
      <c r="F35" s="4" t="s">
        <v>31</v>
      </c>
      <c r="G35" s="4" t="s">
        <v>31</v>
      </c>
      <c r="H35" s="4" t="s">
        <v>39</v>
      </c>
      <c r="I35" s="4" t="s">
        <v>34</v>
      </c>
      <c r="J35" s="4" t="s">
        <v>33</v>
      </c>
      <c r="K35" s="4" t="s">
        <v>34</v>
      </c>
      <c r="L35" s="4" t="s">
        <v>46</v>
      </c>
      <c r="M35" s="4" t="s">
        <v>44</v>
      </c>
      <c r="N35" s="4" t="s">
        <v>34</v>
      </c>
      <c r="O35" s="4" t="s">
        <v>47</v>
      </c>
      <c r="P35" s="4" t="s">
        <v>33</v>
      </c>
      <c r="Q35" s="4" t="s">
        <v>34</v>
      </c>
      <c r="R35" s="4" t="s">
        <v>34</v>
      </c>
      <c r="S35" s="5" t="s">
        <v>43</v>
      </c>
      <c r="T35" s="4" t="s">
        <v>39</v>
      </c>
      <c r="U35" s="4" t="s">
        <v>48</v>
      </c>
    </row>
    <row r="36" spans="1:21" x14ac:dyDescent="0.25">
      <c r="A36" s="9" t="s">
        <v>18</v>
      </c>
      <c r="B36" s="8">
        <v>33</v>
      </c>
      <c r="C36" s="4" t="s">
        <v>30</v>
      </c>
      <c r="D36" s="4" t="s">
        <v>31</v>
      </c>
      <c r="E36" s="4" t="s">
        <v>34</v>
      </c>
      <c r="F36" s="4" t="s">
        <v>31</v>
      </c>
      <c r="G36" s="4" t="s">
        <v>31</v>
      </c>
      <c r="H36" s="5" t="s">
        <v>43</v>
      </c>
      <c r="I36" s="4" t="s">
        <v>34</v>
      </c>
      <c r="J36" s="4" t="s">
        <v>33</v>
      </c>
      <c r="K36" s="4" t="s">
        <v>34</v>
      </c>
      <c r="L36" s="4" t="s">
        <v>46</v>
      </c>
      <c r="M36" s="4" t="s">
        <v>44</v>
      </c>
      <c r="N36" s="4" t="s">
        <v>34</v>
      </c>
      <c r="O36" s="4" t="s">
        <v>47</v>
      </c>
      <c r="P36" s="4" t="s">
        <v>33</v>
      </c>
      <c r="Q36" s="4" t="s">
        <v>34</v>
      </c>
      <c r="R36" s="4" t="s">
        <v>34</v>
      </c>
      <c r="S36" s="4" t="s">
        <v>39</v>
      </c>
      <c r="T36" s="4" t="s">
        <v>39</v>
      </c>
      <c r="U36" s="4" t="s">
        <v>48</v>
      </c>
    </row>
    <row r="37" spans="1:21" x14ac:dyDescent="0.25">
      <c r="A37" s="9"/>
      <c r="B37" s="8">
        <v>34</v>
      </c>
      <c r="C37" s="4" t="s">
        <v>30</v>
      </c>
      <c r="D37" s="4" t="s">
        <v>31</v>
      </c>
      <c r="E37" s="4" t="s">
        <v>34</v>
      </c>
      <c r="F37" s="4" t="s">
        <v>31</v>
      </c>
      <c r="G37" s="4" t="s">
        <v>31</v>
      </c>
      <c r="H37" s="5" t="s">
        <v>42</v>
      </c>
      <c r="I37" s="4" t="s">
        <v>34</v>
      </c>
      <c r="J37" s="4" t="s">
        <v>33</v>
      </c>
      <c r="K37" s="4" t="s">
        <v>34</v>
      </c>
      <c r="L37" s="4" t="s">
        <v>46</v>
      </c>
      <c r="M37" s="4" t="s">
        <v>44</v>
      </c>
      <c r="N37" s="4" t="s">
        <v>34</v>
      </c>
      <c r="O37" s="4" t="s">
        <v>47</v>
      </c>
      <c r="P37" s="4" t="s">
        <v>33</v>
      </c>
      <c r="Q37" s="4" t="s">
        <v>34</v>
      </c>
      <c r="R37" s="4" t="s">
        <v>34</v>
      </c>
      <c r="S37" s="5" t="s">
        <v>43</v>
      </c>
      <c r="T37" s="4" t="s">
        <v>39</v>
      </c>
      <c r="U37" s="4" t="s">
        <v>48</v>
      </c>
    </row>
    <row r="38" spans="1:21" x14ac:dyDescent="0.25">
      <c r="A38" s="9"/>
      <c r="B38" s="8">
        <v>35</v>
      </c>
      <c r="C38" s="4" t="s">
        <v>30</v>
      </c>
      <c r="D38" s="4" t="s">
        <v>31</v>
      </c>
      <c r="E38" s="4" t="s">
        <v>34</v>
      </c>
      <c r="F38" s="4" t="s">
        <v>31</v>
      </c>
      <c r="G38" s="4" t="s">
        <v>31</v>
      </c>
      <c r="H38" s="5" t="s">
        <v>42</v>
      </c>
      <c r="I38" s="4" t="s">
        <v>34</v>
      </c>
      <c r="J38" s="4" t="s">
        <v>33</v>
      </c>
      <c r="K38" s="4" t="s">
        <v>34</v>
      </c>
      <c r="L38" s="4" t="s">
        <v>46</v>
      </c>
      <c r="M38" s="4" t="s">
        <v>44</v>
      </c>
      <c r="N38" s="4" t="s">
        <v>34</v>
      </c>
      <c r="O38" s="4" t="s">
        <v>47</v>
      </c>
      <c r="P38" s="4" t="s">
        <v>33</v>
      </c>
      <c r="Q38" s="4" t="s">
        <v>34</v>
      </c>
      <c r="R38" s="4" t="s">
        <v>34</v>
      </c>
      <c r="S38" s="4" t="s">
        <v>39</v>
      </c>
      <c r="T38" s="4" t="s">
        <v>39</v>
      </c>
      <c r="U38" s="5" t="s">
        <v>50</v>
      </c>
    </row>
    <row r="39" spans="1:21" x14ac:dyDescent="0.25">
      <c r="A39" s="9"/>
      <c r="B39" s="8">
        <v>36</v>
      </c>
      <c r="C39" s="4" t="s">
        <v>30</v>
      </c>
      <c r="D39" s="4" t="s">
        <v>31</v>
      </c>
      <c r="E39" s="4" t="s">
        <v>34</v>
      </c>
      <c r="F39" s="4" t="s">
        <v>31</v>
      </c>
      <c r="G39" s="4" t="s">
        <v>31</v>
      </c>
      <c r="H39" s="4" t="s">
        <v>39</v>
      </c>
      <c r="I39" s="4" t="s">
        <v>34</v>
      </c>
      <c r="J39" s="4" t="s">
        <v>33</v>
      </c>
      <c r="K39" s="4" t="s">
        <v>34</v>
      </c>
      <c r="L39" s="4" t="s">
        <v>46</v>
      </c>
      <c r="M39" s="4" t="s">
        <v>44</v>
      </c>
      <c r="N39" s="4" t="s">
        <v>34</v>
      </c>
      <c r="O39" s="4" t="s">
        <v>47</v>
      </c>
      <c r="P39" s="4" t="s">
        <v>33</v>
      </c>
      <c r="Q39" s="4" t="s">
        <v>34</v>
      </c>
      <c r="R39" s="4" t="s">
        <v>34</v>
      </c>
      <c r="S39" s="5" t="s">
        <v>43</v>
      </c>
      <c r="T39" s="4" t="s">
        <v>39</v>
      </c>
      <c r="U39" s="5" t="s">
        <v>50</v>
      </c>
    </row>
    <row r="40" spans="1:21" x14ac:dyDescent="0.25">
      <c r="A40" s="9"/>
      <c r="B40" s="8">
        <v>37</v>
      </c>
      <c r="C40" s="4" t="s">
        <v>30</v>
      </c>
      <c r="D40" s="4" t="s">
        <v>31</v>
      </c>
      <c r="E40" s="4" t="s">
        <v>34</v>
      </c>
      <c r="F40" s="4" t="s">
        <v>31</v>
      </c>
      <c r="G40" s="4" t="s">
        <v>31</v>
      </c>
      <c r="H40" s="4" t="s">
        <v>39</v>
      </c>
      <c r="I40" s="4" t="s">
        <v>34</v>
      </c>
      <c r="J40" s="4" t="s">
        <v>33</v>
      </c>
      <c r="K40" s="4" t="s">
        <v>34</v>
      </c>
      <c r="L40" s="4" t="s">
        <v>46</v>
      </c>
      <c r="M40" s="4" t="s">
        <v>44</v>
      </c>
      <c r="N40" s="4" t="s">
        <v>34</v>
      </c>
      <c r="O40" s="4" t="s">
        <v>47</v>
      </c>
      <c r="P40" s="4" t="s">
        <v>33</v>
      </c>
      <c r="Q40" s="4" t="s">
        <v>34</v>
      </c>
      <c r="R40" s="4" t="s">
        <v>34</v>
      </c>
      <c r="S40" s="4" t="s">
        <v>39</v>
      </c>
      <c r="T40" s="5" t="s">
        <v>43</v>
      </c>
      <c r="U40" s="4" t="s">
        <v>48</v>
      </c>
    </row>
    <row r="41" spans="1:21" x14ac:dyDescent="0.25">
      <c r="A41" s="9"/>
      <c r="B41" s="8">
        <v>38</v>
      </c>
      <c r="C41" s="4" t="s">
        <v>30</v>
      </c>
      <c r="D41" s="4" t="s">
        <v>31</v>
      </c>
      <c r="E41" s="4" t="s">
        <v>34</v>
      </c>
      <c r="F41" s="4" t="s">
        <v>31</v>
      </c>
      <c r="G41" s="4" t="s">
        <v>31</v>
      </c>
      <c r="H41" s="5" t="s">
        <v>43</v>
      </c>
      <c r="I41" s="4" t="s">
        <v>34</v>
      </c>
      <c r="J41" s="4" t="s">
        <v>33</v>
      </c>
      <c r="K41" s="4" t="s">
        <v>34</v>
      </c>
      <c r="L41" s="4" t="s">
        <v>46</v>
      </c>
      <c r="M41" s="4" t="s">
        <v>44</v>
      </c>
      <c r="N41" s="4" t="s">
        <v>34</v>
      </c>
      <c r="O41" s="4" t="s">
        <v>47</v>
      </c>
      <c r="P41" s="4" t="s">
        <v>33</v>
      </c>
      <c r="Q41" s="4" t="s">
        <v>34</v>
      </c>
      <c r="R41" s="4" t="s">
        <v>34</v>
      </c>
      <c r="S41" s="4" t="s">
        <v>39</v>
      </c>
      <c r="T41" s="5" t="s">
        <v>43</v>
      </c>
      <c r="U41" s="4" t="s">
        <v>48</v>
      </c>
    </row>
    <row r="42" spans="1:21" x14ac:dyDescent="0.25">
      <c r="A42" s="9"/>
      <c r="B42" s="8">
        <v>39</v>
      </c>
      <c r="C42" s="4" t="s">
        <v>30</v>
      </c>
      <c r="D42" s="4" t="s">
        <v>31</v>
      </c>
      <c r="E42" s="4" t="s">
        <v>34</v>
      </c>
      <c r="F42" s="4" t="s">
        <v>31</v>
      </c>
      <c r="G42" s="4" t="s">
        <v>31</v>
      </c>
      <c r="H42" s="5" t="s">
        <v>42</v>
      </c>
      <c r="I42" s="4" t="s">
        <v>34</v>
      </c>
      <c r="J42" s="4" t="s">
        <v>33</v>
      </c>
      <c r="K42" s="4" t="s">
        <v>34</v>
      </c>
      <c r="L42" s="4" t="s">
        <v>46</v>
      </c>
      <c r="M42" s="4" t="s">
        <v>44</v>
      </c>
      <c r="N42" s="4" t="s">
        <v>34</v>
      </c>
      <c r="O42" s="4" t="s">
        <v>47</v>
      </c>
      <c r="P42" s="4" t="s">
        <v>33</v>
      </c>
      <c r="Q42" s="4" t="s">
        <v>34</v>
      </c>
      <c r="R42" s="4" t="s">
        <v>34</v>
      </c>
      <c r="S42" s="4" t="s">
        <v>39</v>
      </c>
      <c r="T42" s="4" t="s">
        <v>39</v>
      </c>
      <c r="U42" s="4" t="s">
        <v>48</v>
      </c>
    </row>
    <row r="43" spans="1:21" x14ac:dyDescent="0.25">
      <c r="A43" s="9"/>
      <c r="B43" s="8">
        <v>40</v>
      </c>
      <c r="C43" s="4" t="s">
        <v>30</v>
      </c>
      <c r="D43" s="4" t="s">
        <v>31</v>
      </c>
      <c r="E43" s="4" t="s">
        <v>34</v>
      </c>
      <c r="F43" s="4" t="s">
        <v>31</v>
      </c>
      <c r="G43" s="4" t="s">
        <v>31</v>
      </c>
      <c r="H43" s="4" t="s">
        <v>39</v>
      </c>
      <c r="I43" s="4" t="s">
        <v>34</v>
      </c>
      <c r="J43" s="4" t="s">
        <v>33</v>
      </c>
      <c r="K43" s="4" t="s">
        <v>34</v>
      </c>
      <c r="L43" s="4" t="s">
        <v>46</v>
      </c>
      <c r="M43" s="4" t="s">
        <v>44</v>
      </c>
      <c r="N43" s="4" t="s">
        <v>34</v>
      </c>
      <c r="O43" s="4" t="s">
        <v>47</v>
      </c>
      <c r="P43" s="4" t="s">
        <v>33</v>
      </c>
      <c r="Q43" s="4" t="s">
        <v>34</v>
      </c>
      <c r="R43" s="4" t="s">
        <v>34</v>
      </c>
      <c r="S43" s="5" t="s">
        <v>43</v>
      </c>
      <c r="T43" s="5" t="s">
        <v>42</v>
      </c>
      <c r="U43" s="4" t="s">
        <v>48</v>
      </c>
    </row>
    <row r="44" spans="1:21" x14ac:dyDescent="0.25">
      <c r="A44" s="9"/>
      <c r="B44" s="8">
        <v>41</v>
      </c>
      <c r="C44" s="4" t="s">
        <v>30</v>
      </c>
      <c r="D44" s="4" t="s">
        <v>31</v>
      </c>
      <c r="E44" s="4" t="s">
        <v>34</v>
      </c>
      <c r="F44" s="4" t="s">
        <v>31</v>
      </c>
      <c r="G44" s="4" t="s">
        <v>31</v>
      </c>
      <c r="H44" s="4" t="s">
        <v>39</v>
      </c>
      <c r="I44" s="4" t="s">
        <v>34</v>
      </c>
      <c r="J44" s="4" t="s">
        <v>33</v>
      </c>
      <c r="K44" s="4" t="s">
        <v>34</v>
      </c>
      <c r="L44" s="4" t="s">
        <v>46</v>
      </c>
      <c r="M44" s="4" t="s">
        <v>44</v>
      </c>
      <c r="N44" s="4" t="s">
        <v>34</v>
      </c>
      <c r="O44" s="4" t="s">
        <v>47</v>
      </c>
      <c r="P44" s="4" t="s">
        <v>33</v>
      </c>
      <c r="Q44" s="4" t="s">
        <v>34</v>
      </c>
      <c r="R44" s="5" t="s">
        <v>10</v>
      </c>
      <c r="S44" s="5" t="s">
        <v>42</v>
      </c>
      <c r="T44" s="4" t="s">
        <v>39</v>
      </c>
      <c r="U44" s="5" t="s">
        <v>50</v>
      </c>
    </row>
    <row r="45" spans="1:21" x14ac:dyDescent="0.25">
      <c r="A45" s="9"/>
      <c r="B45" s="8">
        <v>42</v>
      </c>
      <c r="C45" s="4" t="s">
        <v>30</v>
      </c>
      <c r="D45" s="4" t="s">
        <v>31</v>
      </c>
      <c r="E45" s="4" t="s">
        <v>34</v>
      </c>
      <c r="F45" s="4" t="s">
        <v>31</v>
      </c>
      <c r="G45" s="4" t="s">
        <v>31</v>
      </c>
      <c r="H45" s="5" t="s">
        <v>43</v>
      </c>
      <c r="I45" s="4" t="s">
        <v>34</v>
      </c>
      <c r="J45" s="4" t="s">
        <v>33</v>
      </c>
      <c r="K45" s="4" t="s">
        <v>34</v>
      </c>
      <c r="L45" s="4" t="s">
        <v>46</v>
      </c>
      <c r="M45" s="4" t="s">
        <v>44</v>
      </c>
      <c r="N45" s="4" t="s">
        <v>34</v>
      </c>
      <c r="O45" s="4" t="s">
        <v>47</v>
      </c>
      <c r="P45" s="4" t="s">
        <v>33</v>
      </c>
      <c r="Q45" s="4" t="s">
        <v>34</v>
      </c>
      <c r="R45" s="4" t="s">
        <v>34</v>
      </c>
      <c r="S45" s="5" t="s">
        <v>42</v>
      </c>
      <c r="T45" s="4" t="s">
        <v>39</v>
      </c>
      <c r="U45" s="4" t="s">
        <v>48</v>
      </c>
    </row>
  </sheetData>
  <mergeCells count="8">
    <mergeCell ref="A25:A35"/>
    <mergeCell ref="A36:A45"/>
    <mergeCell ref="A1:A3"/>
    <mergeCell ref="B1:B3"/>
    <mergeCell ref="C1:U1"/>
    <mergeCell ref="A4:A10"/>
    <mergeCell ref="A11:A16"/>
    <mergeCell ref="A17:A2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5"/>
  <sheetViews>
    <sheetView workbookViewId="0">
      <selection sqref="A1:A3"/>
    </sheetView>
  </sheetViews>
  <sheetFormatPr defaultRowHeight="13.8" x14ac:dyDescent="0.25"/>
  <cols>
    <col min="1" max="1" width="9" style="1"/>
    <col min="2" max="2" width="16.5546875" style="2" bestFit="1" customWidth="1"/>
    <col min="3" max="3" width="9.88671875" style="3" customWidth="1"/>
    <col min="4" max="4" width="7" style="3" bestFit="1" customWidth="1"/>
    <col min="5" max="5" width="5.5546875" style="3" customWidth="1"/>
    <col min="6" max="6" width="7.109375" style="3" bestFit="1" customWidth="1"/>
    <col min="7" max="7" width="7" style="3" bestFit="1" customWidth="1"/>
    <col min="8" max="8" width="20.77734375" style="3" customWidth="1"/>
    <col min="9" max="9" width="7.21875" style="3" bestFit="1" customWidth="1"/>
    <col min="10" max="10" width="7.44140625" style="3" bestFit="1" customWidth="1"/>
    <col min="11" max="11" width="7" style="3" bestFit="1" customWidth="1"/>
    <col min="12" max="12" width="5.5546875" style="3" customWidth="1"/>
    <col min="13" max="13" width="7.44140625" style="3" bestFit="1" customWidth="1"/>
    <col min="14" max="15" width="5.5546875" style="3" customWidth="1"/>
    <col min="16" max="16" width="7" style="3" bestFit="1" customWidth="1"/>
    <col min="17" max="17" width="5.5546875" style="3" customWidth="1"/>
    <col min="18" max="18" width="8.44140625" style="3" customWidth="1"/>
    <col min="19" max="19" width="15.109375" style="3" customWidth="1"/>
    <col min="20" max="20" width="12.44140625" style="3" customWidth="1"/>
    <col min="21" max="21" width="17.21875" style="3" customWidth="1"/>
  </cols>
  <sheetData>
    <row r="1" spans="1:21" x14ac:dyDescent="0.25">
      <c r="A1" s="10" t="s">
        <v>29</v>
      </c>
      <c r="B1" s="10" t="s">
        <v>25</v>
      </c>
      <c r="C1" s="10" t="s">
        <v>1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x14ac:dyDescent="0.25">
      <c r="A2" s="10"/>
      <c r="B2" s="10"/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>
        <v>10</v>
      </c>
      <c r="M2" s="4">
        <v>11</v>
      </c>
      <c r="N2" s="4">
        <v>12</v>
      </c>
      <c r="O2" s="4">
        <v>13</v>
      </c>
      <c r="P2" s="4">
        <v>14</v>
      </c>
      <c r="Q2" s="4">
        <v>15</v>
      </c>
      <c r="R2" s="4">
        <v>16</v>
      </c>
      <c r="S2" s="4">
        <v>17</v>
      </c>
      <c r="T2" s="4">
        <v>18</v>
      </c>
      <c r="U2" s="4">
        <v>19</v>
      </c>
    </row>
    <row r="3" spans="1:21" ht="27.6" x14ac:dyDescent="0.25">
      <c r="A3" s="10"/>
      <c r="B3" s="10"/>
      <c r="C3" s="4" t="s">
        <v>63</v>
      </c>
      <c r="D3" s="5" t="s">
        <v>60</v>
      </c>
      <c r="E3" s="4" t="s">
        <v>3</v>
      </c>
      <c r="F3" s="5" t="s">
        <v>19</v>
      </c>
      <c r="G3" s="5" t="s">
        <v>20</v>
      </c>
      <c r="H3" s="6" t="s">
        <v>26</v>
      </c>
      <c r="I3" s="5" t="s">
        <v>21</v>
      </c>
      <c r="J3" s="5" t="s">
        <v>61</v>
      </c>
      <c r="K3" s="5" t="s">
        <v>22</v>
      </c>
      <c r="L3" s="4" t="s">
        <v>6</v>
      </c>
      <c r="M3" s="5" t="s">
        <v>62</v>
      </c>
      <c r="N3" s="4" t="s">
        <v>3</v>
      </c>
      <c r="O3" s="4" t="s">
        <v>8</v>
      </c>
      <c r="P3" s="5" t="s">
        <v>23</v>
      </c>
      <c r="Q3" s="4" t="s">
        <v>3</v>
      </c>
      <c r="R3" s="5" t="s">
        <v>24</v>
      </c>
      <c r="S3" s="6" t="s">
        <v>27</v>
      </c>
      <c r="T3" s="6" t="s">
        <v>27</v>
      </c>
      <c r="U3" s="6" t="s">
        <v>64</v>
      </c>
    </row>
    <row r="4" spans="1:21" x14ac:dyDescent="0.25">
      <c r="A4" s="10" t="s">
        <v>11</v>
      </c>
      <c r="B4" s="7" t="s">
        <v>0</v>
      </c>
      <c r="C4" s="4" t="s">
        <v>63</v>
      </c>
      <c r="D4" s="4" t="s">
        <v>2</v>
      </c>
      <c r="E4" s="4" t="s">
        <v>3</v>
      </c>
      <c r="F4" s="4" t="s">
        <v>2</v>
      </c>
      <c r="G4" s="4" t="s">
        <v>2</v>
      </c>
      <c r="H4" s="4" t="s">
        <v>4</v>
      </c>
      <c r="I4" s="4" t="s">
        <v>3</v>
      </c>
      <c r="J4" s="4" t="s">
        <v>5</v>
      </c>
      <c r="K4" s="4" t="s">
        <v>3</v>
      </c>
      <c r="L4" s="4" t="s">
        <v>6</v>
      </c>
      <c r="M4" s="4" t="s">
        <v>7</v>
      </c>
      <c r="N4" s="4" t="s">
        <v>3</v>
      </c>
      <c r="O4" s="4" t="s">
        <v>8</v>
      </c>
      <c r="P4" s="4" t="s">
        <v>5</v>
      </c>
      <c r="Q4" s="4" t="s">
        <v>3</v>
      </c>
      <c r="R4" s="4" t="s">
        <v>3</v>
      </c>
      <c r="S4" s="4" t="s">
        <v>4</v>
      </c>
      <c r="T4" s="4" t="s">
        <v>4</v>
      </c>
      <c r="U4" s="4" t="s">
        <v>9</v>
      </c>
    </row>
    <row r="5" spans="1:21" x14ac:dyDescent="0.25">
      <c r="A5" s="10"/>
      <c r="B5" s="8">
        <v>3</v>
      </c>
      <c r="C5" s="4" t="s">
        <v>63</v>
      </c>
      <c r="D5" s="4" t="s">
        <v>2</v>
      </c>
      <c r="E5" s="4" t="s">
        <v>3</v>
      </c>
      <c r="F5" s="5" t="s">
        <v>6</v>
      </c>
      <c r="G5" s="4" t="s">
        <v>2</v>
      </c>
      <c r="H5" s="4" t="s">
        <v>4</v>
      </c>
      <c r="I5" s="4" t="s">
        <v>3</v>
      </c>
      <c r="J5" s="4" t="s">
        <v>5</v>
      </c>
      <c r="K5" s="4" t="s">
        <v>3</v>
      </c>
      <c r="L5" s="4" t="s">
        <v>6</v>
      </c>
      <c r="M5" s="4" t="s">
        <v>7</v>
      </c>
      <c r="N5" s="4" t="s">
        <v>3</v>
      </c>
      <c r="O5" s="4" t="s">
        <v>8</v>
      </c>
      <c r="P5" s="4" t="s">
        <v>5</v>
      </c>
      <c r="Q5" s="4" t="s">
        <v>3</v>
      </c>
      <c r="R5" s="4" t="s">
        <v>3</v>
      </c>
      <c r="S5" s="4" t="s">
        <v>4</v>
      </c>
      <c r="T5" s="4" t="s">
        <v>4</v>
      </c>
      <c r="U5" s="4" t="s">
        <v>9</v>
      </c>
    </row>
    <row r="6" spans="1:21" x14ac:dyDescent="0.25">
      <c r="A6" s="10"/>
      <c r="B6" s="8">
        <v>4</v>
      </c>
      <c r="C6" s="4" t="s">
        <v>63</v>
      </c>
      <c r="D6" s="4" t="s">
        <v>2</v>
      </c>
      <c r="E6" s="4" t="s">
        <v>3</v>
      </c>
      <c r="F6" s="4" t="s">
        <v>2</v>
      </c>
      <c r="G6" s="4" t="s">
        <v>2</v>
      </c>
      <c r="H6" s="4" t="s">
        <v>4</v>
      </c>
      <c r="I6" s="4" t="s">
        <v>3</v>
      </c>
      <c r="J6" s="5" t="s">
        <v>56</v>
      </c>
      <c r="K6" s="4" t="s">
        <v>3</v>
      </c>
      <c r="L6" s="4" t="s">
        <v>6</v>
      </c>
      <c r="M6" s="4" t="s">
        <v>7</v>
      </c>
      <c r="N6" s="4" t="s">
        <v>3</v>
      </c>
      <c r="O6" s="4" t="s">
        <v>8</v>
      </c>
      <c r="P6" s="4" t="s">
        <v>5</v>
      </c>
      <c r="Q6" s="4" t="s">
        <v>3</v>
      </c>
      <c r="R6" s="4" t="s">
        <v>3</v>
      </c>
      <c r="S6" s="4" t="s">
        <v>4</v>
      </c>
      <c r="T6" s="4" t="s">
        <v>4</v>
      </c>
      <c r="U6" s="4" t="s">
        <v>9</v>
      </c>
    </row>
    <row r="7" spans="1:21" x14ac:dyDescent="0.25">
      <c r="A7" s="10"/>
      <c r="B7" s="8">
        <v>5</v>
      </c>
      <c r="C7" s="4" t="s">
        <v>63</v>
      </c>
      <c r="D7" s="4" t="s">
        <v>2</v>
      </c>
      <c r="E7" s="4" t="s">
        <v>3</v>
      </c>
      <c r="F7" s="5" t="s">
        <v>6</v>
      </c>
      <c r="G7" s="4" t="s">
        <v>2</v>
      </c>
      <c r="H7" s="4" t="s">
        <v>4</v>
      </c>
      <c r="I7" s="4" t="s">
        <v>3</v>
      </c>
      <c r="J7" s="4" t="s">
        <v>5</v>
      </c>
      <c r="K7" s="4" t="s">
        <v>3</v>
      </c>
      <c r="L7" s="4" t="s">
        <v>6</v>
      </c>
      <c r="M7" s="4" t="s">
        <v>7</v>
      </c>
      <c r="N7" s="4" t="s">
        <v>3</v>
      </c>
      <c r="O7" s="4" t="s">
        <v>8</v>
      </c>
      <c r="P7" s="4" t="s">
        <v>5</v>
      </c>
      <c r="Q7" s="4" t="s">
        <v>3</v>
      </c>
      <c r="R7" s="5" t="s">
        <v>10</v>
      </c>
      <c r="S7" s="4" t="s">
        <v>4</v>
      </c>
      <c r="T7" s="4" t="s">
        <v>4</v>
      </c>
      <c r="U7" s="4" t="s">
        <v>9</v>
      </c>
    </row>
    <row r="8" spans="1:21" x14ac:dyDescent="0.25">
      <c r="A8" s="10"/>
      <c r="B8" s="8">
        <v>6</v>
      </c>
      <c r="C8" s="4" t="s">
        <v>63</v>
      </c>
      <c r="D8" s="4" t="s">
        <v>2</v>
      </c>
      <c r="E8" s="4" t="s">
        <v>3</v>
      </c>
      <c r="F8" s="5" t="s">
        <v>6</v>
      </c>
      <c r="G8" s="4" t="s">
        <v>2</v>
      </c>
      <c r="H8" s="4" t="s">
        <v>4</v>
      </c>
      <c r="I8" s="4" t="s">
        <v>3</v>
      </c>
      <c r="J8" s="4" t="s">
        <v>5</v>
      </c>
      <c r="K8" s="4" t="s">
        <v>3</v>
      </c>
      <c r="L8" s="4" t="s">
        <v>6</v>
      </c>
      <c r="M8" s="4" t="s">
        <v>7</v>
      </c>
      <c r="N8" s="4" t="s">
        <v>3</v>
      </c>
      <c r="O8" s="4" t="s">
        <v>8</v>
      </c>
      <c r="P8" s="4" t="s">
        <v>5</v>
      </c>
      <c r="Q8" s="4" t="s">
        <v>3</v>
      </c>
      <c r="R8" s="4" t="s">
        <v>3</v>
      </c>
      <c r="S8" s="5" t="s">
        <v>12</v>
      </c>
      <c r="T8" s="4" t="s">
        <v>4</v>
      </c>
      <c r="U8" s="4" t="s">
        <v>9</v>
      </c>
    </row>
    <row r="9" spans="1:21" x14ac:dyDescent="0.25">
      <c r="A9" s="10"/>
      <c r="B9" s="8">
        <v>7</v>
      </c>
      <c r="C9" s="4" t="s">
        <v>63</v>
      </c>
      <c r="D9" s="4" t="s">
        <v>2</v>
      </c>
      <c r="E9" s="4" t="s">
        <v>3</v>
      </c>
      <c r="F9" s="5" t="s">
        <v>6</v>
      </c>
      <c r="G9" s="4" t="s">
        <v>2</v>
      </c>
      <c r="H9" s="4" t="s">
        <v>4</v>
      </c>
      <c r="I9" s="4" t="s">
        <v>3</v>
      </c>
      <c r="J9" s="4" t="s">
        <v>5</v>
      </c>
      <c r="K9" s="4" t="s">
        <v>3</v>
      </c>
      <c r="L9" s="4" t="s">
        <v>6</v>
      </c>
      <c r="M9" s="4" t="s">
        <v>7</v>
      </c>
      <c r="N9" s="4" t="s">
        <v>3</v>
      </c>
      <c r="O9" s="4" t="s">
        <v>8</v>
      </c>
      <c r="P9" s="4" t="s">
        <v>5</v>
      </c>
      <c r="Q9" s="4" t="s">
        <v>3</v>
      </c>
      <c r="R9" s="4" t="s">
        <v>3</v>
      </c>
      <c r="S9" s="4" t="s">
        <v>4</v>
      </c>
      <c r="T9" s="4" t="s">
        <v>4</v>
      </c>
      <c r="U9" s="5" t="s">
        <v>65</v>
      </c>
    </row>
    <row r="10" spans="1:21" x14ac:dyDescent="0.25">
      <c r="A10" s="10"/>
      <c r="B10" s="8">
        <v>8</v>
      </c>
      <c r="C10" s="4" t="s">
        <v>63</v>
      </c>
      <c r="D10" s="4" t="s">
        <v>2</v>
      </c>
      <c r="E10" s="4" t="s">
        <v>3</v>
      </c>
      <c r="F10" s="4" t="s">
        <v>2</v>
      </c>
      <c r="G10" s="4" t="s">
        <v>2</v>
      </c>
      <c r="H10" s="5" t="s">
        <v>28</v>
      </c>
      <c r="I10" s="4" t="s">
        <v>3</v>
      </c>
      <c r="J10" s="4" t="s">
        <v>5</v>
      </c>
      <c r="K10" s="4" t="s">
        <v>3</v>
      </c>
      <c r="L10" s="4" t="s">
        <v>6</v>
      </c>
      <c r="M10" s="4" t="s">
        <v>7</v>
      </c>
      <c r="N10" s="4" t="s">
        <v>3</v>
      </c>
      <c r="O10" s="4" t="s">
        <v>8</v>
      </c>
      <c r="P10" s="4" t="s">
        <v>5</v>
      </c>
      <c r="Q10" s="4" t="s">
        <v>3</v>
      </c>
      <c r="R10" s="5" t="s">
        <v>10</v>
      </c>
      <c r="S10" s="4" t="s">
        <v>4</v>
      </c>
      <c r="T10" s="4" t="s">
        <v>4</v>
      </c>
      <c r="U10" s="4" t="s">
        <v>9</v>
      </c>
    </row>
    <row r="11" spans="1:21" x14ac:dyDescent="0.25">
      <c r="A11" s="10" t="s">
        <v>14</v>
      </c>
      <c r="B11" s="7" t="s">
        <v>16</v>
      </c>
      <c r="C11" s="4" t="s">
        <v>63</v>
      </c>
      <c r="D11" s="4" t="s">
        <v>2</v>
      </c>
      <c r="E11" s="4" t="s">
        <v>3</v>
      </c>
      <c r="F11" s="4" t="s">
        <v>2</v>
      </c>
      <c r="G11" s="4" t="s">
        <v>2</v>
      </c>
      <c r="H11" s="4" t="s">
        <v>4</v>
      </c>
      <c r="I11" s="4" t="s">
        <v>3</v>
      </c>
      <c r="J11" s="4" t="s">
        <v>5</v>
      </c>
      <c r="K11" s="4" t="s">
        <v>3</v>
      </c>
      <c r="L11" s="4" t="s">
        <v>6</v>
      </c>
      <c r="M11" s="4" t="s">
        <v>7</v>
      </c>
      <c r="N11" s="4" t="s">
        <v>3</v>
      </c>
      <c r="O11" s="4" t="s">
        <v>8</v>
      </c>
      <c r="P11" s="4" t="s">
        <v>5</v>
      </c>
      <c r="Q11" s="4" t="s">
        <v>3</v>
      </c>
      <c r="R11" s="5" t="s">
        <v>10</v>
      </c>
      <c r="S11" s="4" t="s">
        <v>4</v>
      </c>
      <c r="T11" s="4" t="s">
        <v>4</v>
      </c>
      <c r="U11" s="4" t="s">
        <v>9</v>
      </c>
    </row>
    <row r="12" spans="1:21" x14ac:dyDescent="0.25">
      <c r="A12" s="10"/>
      <c r="B12" s="8">
        <v>9</v>
      </c>
      <c r="C12" s="4" t="s">
        <v>63</v>
      </c>
      <c r="D12" s="4" t="s">
        <v>2</v>
      </c>
      <c r="E12" s="4" t="s">
        <v>3</v>
      </c>
      <c r="F12" s="4" t="s">
        <v>2</v>
      </c>
      <c r="G12" s="4" t="s">
        <v>2</v>
      </c>
      <c r="H12" s="4" t="s">
        <v>4</v>
      </c>
      <c r="I12" s="4" t="s">
        <v>3</v>
      </c>
      <c r="J12" s="4" t="s">
        <v>5</v>
      </c>
      <c r="K12" s="4" t="s">
        <v>3</v>
      </c>
      <c r="L12" s="4" t="s">
        <v>6</v>
      </c>
      <c r="M12" s="4" t="s">
        <v>7</v>
      </c>
      <c r="N12" s="4" t="s">
        <v>3</v>
      </c>
      <c r="O12" s="4" t="s">
        <v>8</v>
      </c>
      <c r="P12" s="4" t="s">
        <v>5</v>
      </c>
      <c r="Q12" s="4" t="s">
        <v>3</v>
      </c>
      <c r="R12" s="4" t="s">
        <v>3</v>
      </c>
      <c r="S12" s="5" t="s">
        <v>12</v>
      </c>
      <c r="T12" s="4" t="s">
        <v>4</v>
      </c>
      <c r="U12" s="4" t="s">
        <v>9</v>
      </c>
    </row>
    <row r="13" spans="1:21" x14ac:dyDescent="0.25">
      <c r="A13" s="10"/>
      <c r="B13" s="8">
        <v>10</v>
      </c>
      <c r="C13" s="4" t="s">
        <v>63</v>
      </c>
      <c r="D13" s="4" t="s">
        <v>2</v>
      </c>
      <c r="E13" s="4" t="s">
        <v>3</v>
      </c>
      <c r="F13" s="4" t="s">
        <v>2</v>
      </c>
      <c r="G13" s="4" t="s">
        <v>2</v>
      </c>
      <c r="H13" s="4" t="s">
        <v>4</v>
      </c>
      <c r="I13" s="4" t="s">
        <v>3</v>
      </c>
      <c r="J13" s="4" t="s">
        <v>5</v>
      </c>
      <c r="K13" s="4" t="s">
        <v>3</v>
      </c>
      <c r="L13" s="4" t="s">
        <v>6</v>
      </c>
      <c r="M13" s="4" t="s">
        <v>7</v>
      </c>
      <c r="N13" s="4" t="s">
        <v>3</v>
      </c>
      <c r="O13" s="4" t="s">
        <v>8</v>
      </c>
      <c r="P13" s="4" t="s">
        <v>5</v>
      </c>
      <c r="Q13" s="4" t="s">
        <v>3</v>
      </c>
      <c r="R13" s="5" t="s">
        <v>10</v>
      </c>
      <c r="S13" s="4" t="s">
        <v>4</v>
      </c>
      <c r="T13" s="4" t="s">
        <v>4</v>
      </c>
      <c r="U13" s="5" t="s">
        <v>13</v>
      </c>
    </row>
    <row r="14" spans="1:21" x14ac:dyDescent="0.25">
      <c r="A14" s="10"/>
      <c r="B14" s="8">
        <v>11</v>
      </c>
      <c r="C14" s="4" t="s">
        <v>63</v>
      </c>
      <c r="D14" s="4" t="s">
        <v>2</v>
      </c>
      <c r="E14" s="4" t="s">
        <v>3</v>
      </c>
      <c r="F14" s="4" t="s">
        <v>2</v>
      </c>
      <c r="G14" s="4" t="s">
        <v>2</v>
      </c>
      <c r="H14" s="4" t="s">
        <v>4</v>
      </c>
      <c r="I14" s="4" t="s">
        <v>3</v>
      </c>
      <c r="J14" s="5" t="s">
        <v>56</v>
      </c>
      <c r="K14" s="4" t="s">
        <v>3</v>
      </c>
      <c r="L14" s="4" t="s">
        <v>6</v>
      </c>
      <c r="M14" s="4" t="s">
        <v>7</v>
      </c>
      <c r="N14" s="4" t="s">
        <v>3</v>
      </c>
      <c r="O14" s="4" t="s">
        <v>8</v>
      </c>
      <c r="P14" s="4" t="s">
        <v>5</v>
      </c>
      <c r="Q14" s="4" t="s">
        <v>3</v>
      </c>
      <c r="R14" s="5" t="s">
        <v>10</v>
      </c>
      <c r="S14" s="4" t="s">
        <v>4</v>
      </c>
      <c r="T14" s="4" t="s">
        <v>4</v>
      </c>
      <c r="U14" s="4" t="s">
        <v>9</v>
      </c>
    </row>
    <row r="15" spans="1:21" x14ac:dyDescent="0.25">
      <c r="A15" s="10"/>
      <c r="B15" s="8">
        <v>12</v>
      </c>
      <c r="C15" s="4" t="s">
        <v>63</v>
      </c>
      <c r="D15" s="4" t="s">
        <v>2</v>
      </c>
      <c r="E15" s="4" t="s">
        <v>3</v>
      </c>
      <c r="F15" s="5" t="s">
        <v>6</v>
      </c>
      <c r="G15" s="4" t="s">
        <v>2</v>
      </c>
      <c r="H15" s="4" t="s">
        <v>4</v>
      </c>
      <c r="I15" s="4" t="s">
        <v>3</v>
      </c>
      <c r="J15" s="4" t="s">
        <v>5</v>
      </c>
      <c r="K15" s="4" t="s">
        <v>3</v>
      </c>
      <c r="L15" s="4" t="s">
        <v>6</v>
      </c>
      <c r="M15" s="4" t="s">
        <v>7</v>
      </c>
      <c r="N15" s="4" t="s">
        <v>3</v>
      </c>
      <c r="O15" s="4" t="s">
        <v>8</v>
      </c>
      <c r="P15" s="4" t="s">
        <v>5</v>
      </c>
      <c r="Q15" s="4" t="s">
        <v>3</v>
      </c>
      <c r="R15" s="5" t="s">
        <v>10</v>
      </c>
      <c r="S15" s="4" t="s">
        <v>4</v>
      </c>
      <c r="T15" s="4" t="s">
        <v>4</v>
      </c>
      <c r="U15" s="5" t="s">
        <v>65</v>
      </c>
    </row>
    <row r="16" spans="1:21" x14ac:dyDescent="0.25">
      <c r="A16" s="10"/>
      <c r="B16" s="8">
        <v>13</v>
      </c>
      <c r="C16" s="4" t="s">
        <v>63</v>
      </c>
      <c r="D16" s="4" t="s">
        <v>2</v>
      </c>
      <c r="E16" s="4" t="s">
        <v>3</v>
      </c>
      <c r="F16" s="4" t="s">
        <v>2</v>
      </c>
      <c r="G16" s="4" t="s">
        <v>2</v>
      </c>
      <c r="H16" s="5" t="s">
        <v>3</v>
      </c>
      <c r="I16" s="5" t="s">
        <v>4</v>
      </c>
      <c r="J16" s="4" t="s">
        <v>5</v>
      </c>
      <c r="K16" s="4" t="s">
        <v>3</v>
      </c>
      <c r="L16" s="4" t="s">
        <v>6</v>
      </c>
      <c r="M16" s="5" t="s">
        <v>54</v>
      </c>
      <c r="N16" s="4" t="s">
        <v>3</v>
      </c>
      <c r="O16" s="4" t="s">
        <v>8</v>
      </c>
      <c r="P16" s="4" t="s">
        <v>5</v>
      </c>
      <c r="Q16" s="4" t="s">
        <v>3</v>
      </c>
      <c r="R16" s="4" t="s">
        <v>3</v>
      </c>
      <c r="S16" s="4" t="s">
        <v>4</v>
      </c>
      <c r="T16" s="4" t="s">
        <v>4</v>
      </c>
      <c r="U16" s="4" t="s">
        <v>9</v>
      </c>
    </row>
    <row r="17" spans="1:22" x14ac:dyDescent="0.25">
      <c r="A17" s="10" t="s">
        <v>15</v>
      </c>
      <c r="B17" s="8">
        <v>14</v>
      </c>
      <c r="C17" s="4" t="s">
        <v>63</v>
      </c>
      <c r="D17" s="4" t="s">
        <v>2</v>
      </c>
      <c r="E17" s="4" t="s">
        <v>3</v>
      </c>
      <c r="F17" s="4" t="s">
        <v>2</v>
      </c>
      <c r="G17" s="4" t="s">
        <v>2</v>
      </c>
      <c r="H17" s="4" t="s">
        <v>4</v>
      </c>
      <c r="I17" s="4" t="s">
        <v>3</v>
      </c>
      <c r="J17" s="4" t="s">
        <v>5</v>
      </c>
      <c r="K17" s="4" t="s">
        <v>3</v>
      </c>
      <c r="L17" s="4" t="s">
        <v>6</v>
      </c>
      <c r="M17" s="4" t="s">
        <v>7</v>
      </c>
      <c r="N17" s="4" t="s">
        <v>3</v>
      </c>
      <c r="O17" s="4" t="s">
        <v>8</v>
      </c>
      <c r="P17" s="4" t="s">
        <v>5</v>
      </c>
      <c r="Q17" s="4" t="s">
        <v>3</v>
      </c>
      <c r="R17" s="4" t="s">
        <v>3</v>
      </c>
      <c r="S17" s="4" t="s">
        <v>4</v>
      </c>
      <c r="T17" s="4" t="s">
        <v>4</v>
      </c>
      <c r="U17" s="5" t="s">
        <v>65</v>
      </c>
    </row>
    <row r="18" spans="1:22" x14ac:dyDescent="0.25">
      <c r="A18" s="10"/>
      <c r="B18" s="8">
        <v>15</v>
      </c>
      <c r="C18" s="4" t="s">
        <v>63</v>
      </c>
      <c r="D18" s="4" t="s">
        <v>2</v>
      </c>
      <c r="E18" s="4" t="s">
        <v>3</v>
      </c>
      <c r="F18" s="4" t="s">
        <v>2</v>
      </c>
      <c r="G18" s="5" t="s">
        <v>3</v>
      </c>
      <c r="H18" s="4" t="s">
        <v>4</v>
      </c>
      <c r="I18" s="4" t="s">
        <v>3</v>
      </c>
      <c r="J18" s="4" t="s">
        <v>5</v>
      </c>
      <c r="K18" s="4" t="s">
        <v>3</v>
      </c>
      <c r="L18" s="4" t="s">
        <v>6</v>
      </c>
      <c r="M18" s="4" t="s">
        <v>7</v>
      </c>
      <c r="N18" s="4" t="s">
        <v>3</v>
      </c>
      <c r="O18" s="4" t="s">
        <v>8</v>
      </c>
      <c r="P18" s="4" t="s">
        <v>5</v>
      </c>
      <c r="Q18" s="4" t="s">
        <v>3</v>
      </c>
      <c r="R18" s="4" t="s">
        <v>3</v>
      </c>
      <c r="S18" s="4" t="s">
        <v>4</v>
      </c>
      <c r="T18" s="4" t="s">
        <v>4</v>
      </c>
      <c r="U18" s="4" t="s">
        <v>9</v>
      </c>
    </row>
    <row r="19" spans="1:22" x14ac:dyDescent="0.25">
      <c r="A19" s="10"/>
      <c r="B19" s="8">
        <v>16</v>
      </c>
      <c r="C19" s="4" t="s">
        <v>63</v>
      </c>
      <c r="D19" s="4" t="s">
        <v>2</v>
      </c>
      <c r="E19" s="4" t="s">
        <v>3</v>
      </c>
      <c r="F19" s="4" t="s">
        <v>2</v>
      </c>
      <c r="G19" s="5" t="s">
        <v>3</v>
      </c>
      <c r="H19" s="4" t="s">
        <v>4</v>
      </c>
      <c r="I19" s="4" t="s">
        <v>3</v>
      </c>
      <c r="J19" s="4" t="s">
        <v>5</v>
      </c>
      <c r="K19" s="4" t="s">
        <v>3</v>
      </c>
      <c r="L19" s="4" t="s">
        <v>6</v>
      </c>
      <c r="M19" s="4" t="s">
        <v>7</v>
      </c>
      <c r="N19" s="4" t="s">
        <v>3</v>
      </c>
      <c r="O19" s="4" t="s">
        <v>8</v>
      </c>
      <c r="P19" s="4" t="s">
        <v>5</v>
      </c>
      <c r="Q19" s="4" t="s">
        <v>3</v>
      </c>
      <c r="R19" s="5" t="s">
        <v>10</v>
      </c>
      <c r="S19" s="4" t="s">
        <v>4</v>
      </c>
      <c r="T19" s="4" t="s">
        <v>4</v>
      </c>
      <c r="U19" s="4" t="s">
        <v>9</v>
      </c>
    </row>
    <row r="20" spans="1:22" x14ac:dyDescent="0.25">
      <c r="A20" s="10"/>
      <c r="B20" s="8">
        <v>17</v>
      </c>
      <c r="C20" s="4" t="s">
        <v>63</v>
      </c>
      <c r="D20" s="4" t="s">
        <v>2</v>
      </c>
      <c r="E20" s="4" t="s">
        <v>3</v>
      </c>
      <c r="F20" s="4" t="s">
        <v>2</v>
      </c>
      <c r="G20" s="4" t="s">
        <v>2</v>
      </c>
      <c r="H20" s="4" t="s">
        <v>4</v>
      </c>
      <c r="I20" s="4" t="s">
        <v>3</v>
      </c>
      <c r="J20" s="4" t="s">
        <v>5</v>
      </c>
      <c r="K20" s="4" t="s">
        <v>3</v>
      </c>
      <c r="L20" s="4" t="s">
        <v>6</v>
      </c>
      <c r="M20" s="4" t="s">
        <v>7</v>
      </c>
      <c r="N20" s="4" t="s">
        <v>3</v>
      </c>
      <c r="O20" s="4" t="s">
        <v>8</v>
      </c>
      <c r="P20" s="4" t="s">
        <v>5</v>
      </c>
      <c r="Q20" s="4" t="s">
        <v>3</v>
      </c>
      <c r="R20" s="4" t="s">
        <v>3</v>
      </c>
      <c r="S20" s="5" t="s">
        <v>28</v>
      </c>
      <c r="T20" s="4" t="s">
        <v>4</v>
      </c>
      <c r="U20" s="4" t="s">
        <v>9</v>
      </c>
    </row>
    <row r="21" spans="1:22" x14ac:dyDescent="0.25">
      <c r="A21" s="10"/>
      <c r="B21" s="8">
        <v>18</v>
      </c>
      <c r="C21" s="4" t="s">
        <v>63</v>
      </c>
      <c r="D21" s="4" t="s">
        <v>2</v>
      </c>
      <c r="E21" s="4" t="s">
        <v>3</v>
      </c>
      <c r="F21" s="4" t="s">
        <v>2</v>
      </c>
      <c r="G21" s="4" t="s">
        <v>2</v>
      </c>
      <c r="H21" s="4" t="s">
        <v>4</v>
      </c>
      <c r="I21" s="4" t="s">
        <v>3</v>
      </c>
      <c r="J21" s="4" t="s">
        <v>5</v>
      </c>
      <c r="K21" s="4" t="s">
        <v>3</v>
      </c>
      <c r="L21" s="4" t="s">
        <v>6</v>
      </c>
      <c r="M21" s="4" t="s">
        <v>7</v>
      </c>
      <c r="N21" s="4" t="s">
        <v>3</v>
      </c>
      <c r="O21" s="4" t="s">
        <v>8</v>
      </c>
      <c r="P21" s="4" t="s">
        <v>5</v>
      </c>
      <c r="Q21" s="4" t="s">
        <v>3</v>
      </c>
      <c r="R21" s="5" t="s">
        <v>10</v>
      </c>
      <c r="S21" s="5" t="s">
        <v>12</v>
      </c>
      <c r="T21" s="4" t="s">
        <v>4</v>
      </c>
      <c r="U21" s="4" t="s">
        <v>9</v>
      </c>
    </row>
    <row r="22" spans="1:22" x14ac:dyDescent="0.25">
      <c r="A22" s="10"/>
      <c r="B22" s="8">
        <v>19</v>
      </c>
      <c r="C22" s="4" t="s">
        <v>63</v>
      </c>
      <c r="D22" s="4" t="s">
        <v>2</v>
      </c>
      <c r="E22" s="4" t="s">
        <v>3</v>
      </c>
      <c r="F22" s="4" t="s">
        <v>2</v>
      </c>
      <c r="G22" s="4" t="s">
        <v>2</v>
      </c>
      <c r="H22" s="5" t="s">
        <v>28</v>
      </c>
      <c r="I22" s="4" t="s">
        <v>3</v>
      </c>
      <c r="J22" s="4" t="s">
        <v>5</v>
      </c>
      <c r="K22" s="4" t="s">
        <v>3</v>
      </c>
      <c r="L22" s="4" t="s">
        <v>6</v>
      </c>
      <c r="M22" s="4" t="s">
        <v>7</v>
      </c>
      <c r="N22" s="4" t="s">
        <v>3</v>
      </c>
      <c r="O22" s="4" t="s">
        <v>8</v>
      </c>
      <c r="P22" s="4" t="s">
        <v>5</v>
      </c>
      <c r="Q22" s="4" t="s">
        <v>3</v>
      </c>
      <c r="R22" s="4" t="s">
        <v>3</v>
      </c>
      <c r="S22" s="5" t="s">
        <v>28</v>
      </c>
      <c r="T22" s="4" t="s">
        <v>4</v>
      </c>
      <c r="U22" s="4" t="s">
        <v>9</v>
      </c>
    </row>
    <row r="23" spans="1:22" x14ac:dyDescent="0.25">
      <c r="A23" s="10"/>
      <c r="B23" s="8">
        <v>20</v>
      </c>
      <c r="C23" s="4" t="s">
        <v>63</v>
      </c>
      <c r="D23" s="4" t="s">
        <v>2</v>
      </c>
      <c r="E23" s="4" t="s">
        <v>3</v>
      </c>
      <c r="F23" s="4" t="s">
        <v>2</v>
      </c>
      <c r="G23" s="4" t="s">
        <v>2</v>
      </c>
      <c r="H23" s="5" t="s">
        <v>28</v>
      </c>
      <c r="I23" s="4" t="s">
        <v>3</v>
      </c>
      <c r="J23" s="4" t="s">
        <v>5</v>
      </c>
      <c r="K23" s="4" t="s">
        <v>3</v>
      </c>
      <c r="L23" s="4" t="s">
        <v>6</v>
      </c>
      <c r="M23" s="4" t="s">
        <v>7</v>
      </c>
      <c r="N23" s="4" t="s">
        <v>3</v>
      </c>
      <c r="O23" s="4" t="s">
        <v>8</v>
      </c>
      <c r="P23" s="4" t="s">
        <v>5</v>
      </c>
      <c r="Q23" s="4" t="s">
        <v>3</v>
      </c>
      <c r="R23" s="5" t="s">
        <v>10</v>
      </c>
      <c r="S23" s="4" t="s">
        <v>4</v>
      </c>
      <c r="T23" s="4" t="s">
        <v>4</v>
      </c>
      <c r="U23" s="5" t="s">
        <v>65</v>
      </c>
    </row>
    <row r="24" spans="1:22" x14ac:dyDescent="0.25">
      <c r="A24" s="10"/>
      <c r="B24" s="8">
        <v>21</v>
      </c>
      <c r="C24" s="4" t="s">
        <v>63</v>
      </c>
      <c r="D24" s="4" t="s">
        <v>2</v>
      </c>
      <c r="E24" s="4" t="s">
        <v>3</v>
      </c>
      <c r="F24" s="4" t="s">
        <v>2</v>
      </c>
      <c r="G24" s="5" t="s">
        <v>3</v>
      </c>
      <c r="H24" s="4" t="s">
        <v>4</v>
      </c>
      <c r="I24" s="4" t="s">
        <v>3</v>
      </c>
      <c r="J24" s="4" t="s">
        <v>5</v>
      </c>
      <c r="K24" s="4" t="s">
        <v>3</v>
      </c>
      <c r="L24" s="4" t="s">
        <v>6</v>
      </c>
      <c r="M24" s="4" t="s">
        <v>7</v>
      </c>
      <c r="N24" s="4" t="s">
        <v>3</v>
      </c>
      <c r="O24" s="4" t="s">
        <v>8</v>
      </c>
      <c r="P24" s="4" t="s">
        <v>5</v>
      </c>
      <c r="Q24" s="4" t="s">
        <v>3</v>
      </c>
      <c r="R24" s="5" t="s">
        <v>10</v>
      </c>
      <c r="S24" s="5" t="s">
        <v>28</v>
      </c>
      <c r="T24" s="4" t="s">
        <v>4</v>
      </c>
      <c r="U24" s="4" t="s">
        <v>9</v>
      </c>
    </row>
    <row r="25" spans="1:22" x14ac:dyDescent="0.25">
      <c r="A25" s="10" t="s">
        <v>17</v>
      </c>
      <c r="B25" s="8">
        <v>22</v>
      </c>
      <c r="C25" s="4" t="s">
        <v>63</v>
      </c>
      <c r="D25" s="4" t="s">
        <v>2</v>
      </c>
      <c r="E25" s="4" t="s">
        <v>3</v>
      </c>
      <c r="F25" s="4" t="s">
        <v>2</v>
      </c>
      <c r="G25" s="4" t="s">
        <v>2</v>
      </c>
      <c r="H25" s="4" t="s">
        <v>4</v>
      </c>
      <c r="I25" s="4" t="s">
        <v>3</v>
      </c>
      <c r="J25" s="4" t="s">
        <v>5</v>
      </c>
      <c r="K25" s="4" t="s">
        <v>3</v>
      </c>
      <c r="L25" s="4" t="s">
        <v>6</v>
      </c>
      <c r="M25" s="4" t="s">
        <v>7</v>
      </c>
      <c r="N25" s="4" t="s">
        <v>3</v>
      </c>
      <c r="O25" s="4" t="s">
        <v>8</v>
      </c>
      <c r="P25" s="4" t="s">
        <v>5</v>
      </c>
      <c r="Q25" s="4" t="s">
        <v>3</v>
      </c>
      <c r="R25" s="5" t="s">
        <v>10</v>
      </c>
      <c r="S25" s="5" t="s">
        <v>28</v>
      </c>
      <c r="T25" s="4" t="s">
        <v>4</v>
      </c>
      <c r="U25" s="4" t="s">
        <v>9</v>
      </c>
    </row>
    <row r="26" spans="1:22" x14ac:dyDescent="0.25">
      <c r="A26" s="10"/>
      <c r="B26" s="8">
        <v>23</v>
      </c>
      <c r="C26" s="4" t="s">
        <v>63</v>
      </c>
      <c r="D26" s="4" t="s">
        <v>2</v>
      </c>
      <c r="E26" s="4" t="s">
        <v>3</v>
      </c>
      <c r="F26" s="4" t="s">
        <v>2</v>
      </c>
      <c r="G26" s="4" t="s">
        <v>2</v>
      </c>
      <c r="H26" s="4" t="s">
        <v>4</v>
      </c>
      <c r="I26" s="4" t="s">
        <v>3</v>
      </c>
      <c r="J26" s="4" t="s">
        <v>5</v>
      </c>
      <c r="K26" s="4" t="s">
        <v>3</v>
      </c>
      <c r="L26" s="4" t="s">
        <v>6</v>
      </c>
      <c r="M26" s="4" t="s">
        <v>7</v>
      </c>
      <c r="N26" s="4" t="s">
        <v>3</v>
      </c>
      <c r="O26" s="4" t="s">
        <v>8</v>
      </c>
      <c r="P26" s="4" t="s">
        <v>5</v>
      </c>
      <c r="Q26" s="4" t="s">
        <v>3</v>
      </c>
      <c r="R26" s="4" t="s">
        <v>3</v>
      </c>
      <c r="S26" s="5" t="s">
        <v>12</v>
      </c>
      <c r="T26" s="4" t="s">
        <v>4</v>
      </c>
      <c r="U26" s="5" t="s">
        <v>65</v>
      </c>
      <c r="V26" s="3"/>
    </row>
    <row r="27" spans="1:22" x14ac:dyDescent="0.25">
      <c r="A27" s="10"/>
      <c r="B27" s="8">
        <v>24</v>
      </c>
      <c r="C27" s="4" t="s">
        <v>63</v>
      </c>
      <c r="D27" s="4" t="s">
        <v>2</v>
      </c>
      <c r="E27" s="4" t="s">
        <v>3</v>
      </c>
      <c r="F27" s="4" t="s">
        <v>2</v>
      </c>
      <c r="G27" s="4" t="s">
        <v>2</v>
      </c>
      <c r="H27" s="4" t="s">
        <v>4</v>
      </c>
      <c r="I27" s="4" t="s">
        <v>3</v>
      </c>
      <c r="J27" s="4" t="s">
        <v>5</v>
      </c>
      <c r="K27" s="4" t="s">
        <v>3</v>
      </c>
      <c r="L27" s="4" t="s">
        <v>6</v>
      </c>
      <c r="M27" s="4" t="s">
        <v>7</v>
      </c>
      <c r="N27" s="4" t="s">
        <v>3</v>
      </c>
      <c r="O27" s="4" t="s">
        <v>8</v>
      </c>
      <c r="P27" s="4" t="s">
        <v>5</v>
      </c>
      <c r="Q27" s="4" t="s">
        <v>3</v>
      </c>
      <c r="R27" s="5" t="s">
        <v>10</v>
      </c>
      <c r="S27" s="4" t="s">
        <v>4</v>
      </c>
      <c r="T27" s="4" t="s">
        <v>4</v>
      </c>
      <c r="U27" s="5" t="s">
        <v>65</v>
      </c>
    </row>
    <row r="28" spans="1:22" x14ac:dyDescent="0.25">
      <c r="A28" s="10"/>
      <c r="B28" s="8">
        <v>25</v>
      </c>
      <c r="C28" s="4" t="s">
        <v>63</v>
      </c>
      <c r="D28" s="4" t="s">
        <v>2</v>
      </c>
      <c r="E28" s="4" t="s">
        <v>3</v>
      </c>
      <c r="F28" s="4" t="s">
        <v>2</v>
      </c>
      <c r="G28" s="4" t="s">
        <v>2</v>
      </c>
      <c r="H28" s="5" t="s">
        <v>12</v>
      </c>
      <c r="I28" s="4" t="s">
        <v>3</v>
      </c>
      <c r="J28" s="4" t="s">
        <v>5</v>
      </c>
      <c r="K28" s="4" t="s">
        <v>3</v>
      </c>
      <c r="L28" s="4" t="s">
        <v>6</v>
      </c>
      <c r="M28" s="4" t="s">
        <v>7</v>
      </c>
      <c r="N28" s="4" t="s">
        <v>3</v>
      </c>
      <c r="O28" s="4" t="s">
        <v>8</v>
      </c>
      <c r="P28" s="4" t="s">
        <v>5</v>
      </c>
      <c r="Q28" s="4" t="s">
        <v>3</v>
      </c>
      <c r="R28" s="4" t="s">
        <v>3</v>
      </c>
      <c r="S28" s="5" t="s">
        <v>12</v>
      </c>
      <c r="T28" s="4" t="s">
        <v>4</v>
      </c>
      <c r="U28" s="4" t="s">
        <v>9</v>
      </c>
    </row>
    <row r="29" spans="1:22" x14ac:dyDescent="0.25">
      <c r="A29" s="10"/>
      <c r="B29" s="8">
        <v>26</v>
      </c>
      <c r="C29" s="4" t="s">
        <v>63</v>
      </c>
      <c r="D29" s="4" t="s">
        <v>2</v>
      </c>
      <c r="E29" s="4" t="s">
        <v>3</v>
      </c>
      <c r="F29" s="4" t="s">
        <v>2</v>
      </c>
      <c r="G29" s="4" t="s">
        <v>2</v>
      </c>
      <c r="H29" s="4" t="s">
        <v>4</v>
      </c>
      <c r="I29" s="4" t="s">
        <v>3</v>
      </c>
      <c r="J29" s="5" t="s">
        <v>56</v>
      </c>
      <c r="K29" s="4" t="s">
        <v>3</v>
      </c>
      <c r="L29" s="4" t="s">
        <v>6</v>
      </c>
      <c r="M29" s="4" t="s">
        <v>7</v>
      </c>
      <c r="N29" s="4" t="s">
        <v>3</v>
      </c>
      <c r="O29" s="4" t="s">
        <v>8</v>
      </c>
      <c r="P29" s="4" t="s">
        <v>5</v>
      </c>
      <c r="Q29" s="4" t="s">
        <v>3</v>
      </c>
      <c r="R29" s="5" t="s">
        <v>10</v>
      </c>
      <c r="S29" s="4" t="s">
        <v>4</v>
      </c>
      <c r="T29" s="4" t="s">
        <v>4</v>
      </c>
      <c r="U29" s="5" t="s">
        <v>65</v>
      </c>
    </row>
    <row r="30" spans="1:22" x14ac:dyDescent="0.25">
      <c r="A30" s="10"/>
      <c r="B30" s="8">
        <v>27</v>
      </c>
      <c r="C30" s="4" t="s">
        <v>63</v>
      </c>
      <c r="D30" s="4" t="s">
        <v>2</v>
      </c>
      <c r="E30" s="4" t="s">
        <v>3</v>
      </c>
      <c r="F30" s="4" t="s">
        <v>2</v>
      </c>
      <c r="G30" s="4" t="s">
        <v>2</v>
      </c>
      <c r="H30" s="4" t="s">
        <v>4</v>
      </c>
      <c r="I30" s="4" t="s">
        <v>3</v>
      </c>
      <c r="J30" s="4" t="s">
        <v>5</v>
      </c>
      <c r="K30" s="4" t="s">
        <v>3</v>
      </c>
      <c r="L30" s="4" t="s">
        <v>6</v>
      </c>
      <c r="M30" s="4" t="s">
        <v>7</v>
      </c>
      <c r="N30" s="4" t="s">
        <v>3</v>
      </c>
      <c r="O30" s="4" t="s">
        <v>8</v>
      </c>
      <c r="P30" s="4" t="s">
        <v>5</v>
      </c>
      <c r="Q30" s="4" t="s">
        <v>3</v>
      </c>
      <c r="R30" s="4" t="s">
        <v>3</v>
      </c>
      <c r="S30" s="4" t="s">
        <v>4</v>
      </c>
      <c r="T30" s="5" t="s">
        <v>12</v>
      </c>
      <c r="U30" s="5" t="s">
        <v>65</v>
      </c>
    </row>
    <row r="31" spans="1:22" x14ac:dyDescent="0.25">
      <c r="A31" s="10"/>
      <c r="B31" s="8">
        <v>28</v>
      </c>
      <c r="C31" s="4" t="s">
        <v>63</v>
      </c>
      <c r="D31" s="4" t="s">
        <v>2</v>
      </c>
      <c r="E31" s="4" t="s">
        <v>3</v>
      </c>
      <c r="F31" s="4" t="s">
        <v>2</v>
      </c>
      <c r="G31" s="4" t="s">
        <v>2</v>
      </c>
      <c r="H31" s="5" t="s">
        <v>12</v>
      </c>
      <c r="I31" s="4" t="s">
        <v>3</v>
      </c>
      <c r="J31" s="4" t="s">
        <v>5</v>
      </c>
      <c r="K31" s="4" t="s">
        <v>3</v>
      </c>
      <c r="L31" s="4" t="s">
        <v>6</v>
      </c>
      <c r="M31" s="4" t="s">
        <v>7</v>
      </c>
      <c r="N31" s="4" t="s">
        <v>3</v>
      </c>
      <c r="O31" s="4" t="s">
        <v>8</v>
      </c>
      <c r="P31" s="4" t="s">
        <v>5</v>
      </c>
      <c r="Q31" s="4" t="s">
        <v>3</v>
      </c>
      <c r="R31" s="5" t="s">
        <v>10</v>
      </c>
      <c r="S31" s="4" t="s">
        <v>4</v>
      </c>
      <c r="T31" s="4" t="s">
        <v>4</v>
      </c>
      <c r="U31" s="4" t="s">
        <v>9</v>
      </c>
    </row>
    <row r="32" spans="1:22" x14ac:dyDescent="0.25">
      <c r="A32" s="10"/>
      <c r="B32" s="8">
        <v>29</v>
      </c>
      <c r="C32" s="4" t="s">
        <v>63</v>
      </c>
      <c r="D32" s="4" t="s">
        <v>2</v>
      </c>
      <c r="E32" s="4" t="s">
        <v>3</v>
      </c>
      <c r="F32" s="4" t="s">
        <v>2</v>
      </c>
      <c r="G32" s="4" t="s">
        <v>2</v>
      </c>
      <c r="H32" s="4" t="s">
        <v>4</v>
      </c>
      <c r="I32" s="4" t="s">
        <v>3</v>
      </c>
      <c r="J32" s="5" t="s">
        <v>56</v>
      </c>
      <c r="K32" s="4" t="s">
        <v>3</v>
      </c>
      <c r="L32" s="4" t="s">
        <v>6</v>
      </c>
      <c r="M32" s="4" t="s">
        <v>7</v>
      </c>
      <c r="N32" s="4" t="s">
        <v>3</v>
      </c>
      <c r="O32" s="4" t="s">
        <v>8</v>
      </c>
      <c r="P32" s="4" t="s">
        <v>5</v>
      </c>
      <c r="Q32" s="4" t="s">
        <v>3</v>
      </c>
      <c r="R32" s="4" t="s">
        <v>3</v>
      </c>
      <c r="S32" s="5" t="s">
        <v>12</v>
      </c>
      <c r="T32" s="4" t="s">
        <v>4</v>
      </c>
      <c r="U32" s="4" t="s">
        <v>9</v>
      </c>
    </row>
    <row r="33" spans="1:21" x14ac:dyDescent="0.25">
      <c r="A33" s="10"/>
      <c r="B33" s="8">
        <v>30</v>
      </c>
      <c r="C33" s="4" t="s">
        <v>63</v>
      </c>
      <c r="D33" s="4" t="s">
        <v>2</v>
      </c>
      <c r="E33" s="4" t="s">
        <v>3</v>
      </c>
      <c r="F33" s="4" t="s">
        <v>2</v>
      </c>
      <c r="G33" s="4" t="s">
        <v>2</v>
      </c>
      <c r="H33" s="4" t="s">
        <v>4</v>
      </c>
      <c r="I33" s="4" t="s">
        <v>3</v>
      </c>
      <c r="J33" s="4" t="s">
        <v>5</v>
      </c>
      <c r="K33" s="5" t="s">
        <v>2</v>
      </c>
      <c r="L33" s="4" t="s">
        <v>6</v>
      </c>
      <c r="M33" s="4" t="s">
        <v>7</v>
      </c>
      <c r="N33" s="4" t="s">
        <v>3</v>
      </c>
      <c r="O33" s="4" t="s">
        <v>8</v>
      </c>
      <c r="P33" s="5" t="s">
        <v>2</v>
      </c>
      <c r="Q33" s="4" t="s">
        <v>3</v>
      </c>
      <c r="R33" s="5" t="s">
        <v>10</v>
      </c>
      <c r="S33" s="4" t="s">
        <v>4</v>
      </c>
      <c r="T33" s="4" t="s">
        <v>4</v>
      </c>
      <c r="U33" s="4" t="s">
        <v>9</v>
      </c>
    </row>
    <row r="34" spans="1:21" x14ac:dyDescent="0.25">
      <c r="A34" s="10"/>
      <c r="B34" s="8">
        <v>31</v>
      </c>
      <c r="C34" s="4" t="s">
        <v>63</v>
      </c>
      <c r="D34" s="5" t="s">
        <v>54</v>
      </c>
      <c r="E34" s="4" t="s">
        <v>3</v>
      </c>
      <c r="F34" s="4" t="s">
        <v>2</v>
      </c>
      <c r="G34" s="4" t="s">
        <v>2</v>
      </c>
      <c r="H34" s="4" t="s">
        <v>4</v>
      </c>
      <c r="I34" s="4" t="s">
        <v>3</v>
      </c>
      <c r="J34" s="4" t="s">
        <v>5</v>
      </c>
      <c r="K34" s="4" t="s">
        <v>3</v>
      </c>
      <c r="L34" s="4" t="s">
        <v>6</v>
      </c>
      <c r="M34" s="4" t="s">
        <v>7</v>
      </c>
      <c r="N34" s="4" t="s">
        <v>3</v>
      </c>
      <c r="O34" s="4" t="s">
        <v>8</v>
      </c>
      <c r="P34" s="4" t="s">
        <v>5</v>
      </c>
      <c r="Q34" s="4" t="s">
        <v>3</v>
      </c>
      <c r="R34" s="4" t="s">
        <v>3</v>
      </c>
      <c r="S34" s="4" t="s">
        <v>4</v>
      </c>
      <c r="T34" s="4" t="s">
        <v>4</v>
      </c>
      <c r="U34" s="4" t="s">
        <v>9</v>
      </c>
    </row>
    <row r="35" spans="1:21" x14ac:dyDescent="0.25">
      <c r="A35" s="10"/>
      <c r="B35" s="8">
        <v>32</v>
      </c>
      <c r="C35" s="4" t="s">
        <v>63</v>
      </c>
      <c r="D35" s="5" t="s">
        <v>54</v>
      </c>
      <c r="E35" s="4" t="s">
        <v>3</v>
      </c>
      <c r="F35" s="4" t="s">
        <v>2</v>
      </c>
      <c r="G35" s="4" t="s">
        <v>2</v>
      </c>
      <c r="H35" s="4" t="s">
        <v>4</v>
      </c>
      <c r="I35" s="4" t="s">
        <v>3</v>
      </c>
      <c r="J35" s="4" t="s">
        <v>5</v>
      </c>
      <c r="K35" s="4" t="s">
        <v>3</v>
      </c>
      <c r="L35" s="4" t="s">
        <v>6</v>
      </c>
      <c r="M35" s="4" t="s">
        <v>7</v>
      </c>
      <c r="N35" s="4" t="s">
        <v>3</v>
      </c>
      <c r="O35" s="4" t="s">
        <v>8</v>
      </c>
      <c r="P35" s="4" t="s">
        <v>5</v>
      </c>
      <c r="Q35" s="4" t="s">
        <v>3</v>
      </c>
      <c r="R35" s="4" t="s">
        <v>3</v>
      </c>
      <c r="S35" s="5" t="s">
        <v>28</v>
      </c>
      <c r="T35" s="4" t="s">
        <v>4</v>
      </c>
      <c r="U35" s="4" t="s">
        <v>9</v>
      </c>
    </row>
    <row r="36" spans="1:21" x14ac:dyDescent="0.25">
      <c r="A36" s="10" t="s">
        <v>18</v>
      </c>
      <c r="B36" s="8">
        <v>33</v>
      </c>
      <c r="C36" s="4" t="s">
        <v>63</v>
      </c>
      <c r="D36" s="4" t="s">
        <v>2</v>
      </c>
      <c r="E36" s="4" t="s">
        <v>3</v>
      </c>
      <c r="F36" s="4" t="s">
        <v>2</v>
      </c>
      <c r="G36" s="4" t="s">
        <v>2</v>
      </c>
      <c r="H36" s="5" t="s">
        <v>28</v>
      </c>
      <c r="I36" s="4" t="s">
        <v>3</v>
      </c>
      <c r="J36" s="4" t="s">
        <v>5</v>
      </c>
      <c r="K36" s="4" t="s">
        <v>3</v>
      </c>
      <c r="L36" s="4" t="s">
        <v>6</v>
      </c>
      <c r="M36" s="4" t="s">
        <v>7</v>
      </c>
      <c r="N36" s="4" t="s">
        <v>3</v>
      </c>
      <c r="O36" s="4" t="s">
        <v>8</v>
      </c>
      <c r="P36" s="4" t="s">
        <v>5</v>
      </c>
      <c r="Q36" s="4" t="s">
        <v>3</v>
      </c>
      <c r="R36" s="4" t="s">
        <v>3</v>
      </c>
      <c r="S36" s="4" t="s">
        <v>4</v>
      </c>
      <c r="T36" s="4" t="s">
        <v>4</v>
      </c>
      <c r="U36" s="4" t="s">
        <v>9</v>
      </c>
    </row>
    <row r="37" spans="1:21" x14ac:dyDescent="0.25">
      <c r="A37" s="10"/>
      <c r="B37" s="8">
        <v>34</v>
      </c>
      <c r="C37" s="4" t="s">
        <v>63</v>
      </c>
      <c r="D37" s="4" t="s">
        <v>2</v>
      </c>
      <c r="E37" s="4" t="s">
        <v>3</v>
      </c>
      <c r="F37" s="4" t="s">
        <v>2</v>
      </c>
      <c r="G37" s="4" t="s">
        <v>2</v>
      </c>
      <c r="H37" s="5" t="s">
        <v>12</v>
      </c>
      <c r="I37" s="4" t="s">
        <v>3</v>
      </c>
      <c r="J37" s="4" t="s">
        <v>5</v>
      </c>
      <c r="K37" s="4" t="s">
        <v>3</v>
      </c>
      <c r="L37" s="4" t="s">
        <v>6</v>
      </c>
      <c r="M37" s="4" t="s">
        <v>7</v>
      </c>
      <c r="N37" s="4" t="s">
        <v>3</v>
      </c>
      <c r="O37" s="4" t="s">
        <v>8</v>
      </c>
      <c r="P37" s="4" t="s">
        <v>5</v>
      </c>
      <c r="Q37" s="4" t="s">
        <v>3</v>
      </c>
      <c r="R37" s="4" t="s">
        <v>3</v>
      </c>
      <c r="S37" s="5" t="s">
        <v>28</v>
      </c>
      <c r="T37" s="4" t="s">
        <v>4</v>
      </c>
      <c r="U37" s="4" t="s">
        <v>9</v>
      </c>
    </row>
    <row r="38" spans="1:21" x14ac:dyDescent="0.25">
      <c r="A38" s="10"/>
      <c r="B38" s="8">
        <v>35</v>
      </c>
      <c r="C38" s="4" t="s">
        <v>63</v>
      </c>
      <c r="D38" s="4" t="s">
        <v>2</v>
      </c>
      <c r="E38" s="4" t="s">
        <v>3</v>
      </c>
      <c r="F38" s="4" t="s">
        <v>2</v>
      </c>
      <c r="G38" s="4" t="s">
        <v>2</v>
      </c>
      <c r="H38" s="5" t="s">
        <v>12</v>
      </c>
      <c r="I38" s="4" t="s">
        <v>3</v>
      </c>
      <c r="J38" s="4" t="s">
        <v>5</v>
      </c>
      <c r="K38" s="4" t="s">
        <v>3</v>
      </c>
      <c r="L38" s="4" t="s">
        <v>6</v>
      </c>
      <c r="M38" s="4" t="s">
        <v>7</v>
      </c>
      <c r="N38" s="4" t="s">
        <v>3</v>
      </c>
      <c r="O38" s="4" t="s">
        <v>8</v>
      </c>
      <c r="P38" s="4" t="s">
        <v>5</v>
      </c>
      <c r="Q38" s="4" t="s">
        <v>3</v>
      </c>
      <c r="R38" s="4" t="s">
        <v>3</v>
      </c>
      <c r="S38" s="4" t="s">
        <v>4</v>
      </c>
      <c r="T38" s="4" t="s">
        <v>4</v>
      </c>
      <c r="U38" s="5" t="s">
        <v>65</v>
      </c>
    </row>
    <row r="39" spans="1:21" x14ac:dyDescent="0.25">
      <c r="A39" s="10"/>
      <c r="B39" s="8">
        <v>36</v>
      </c>
      <c r="C39" s="4" t="s">
        <v>63</v>
      </c>
      <c r="D39" s="4" t="s">
        <v>2</v>
      </c>
      <c r="E39" s="4" t="s">
        <v>3</v>
      </c>
      <c r="F39" s="4" t="s">
        <v>2</v>
      </c>
      <c r="G39" s="4" t="s">
        <v>2</v>
      </c>
      <c r="H39" s="4" t="s">
        <v>4</v>
      </c>
      <c r="I39" s="4" t="s">
        <v>3</v>
      </c>
      <c r="J39" s="4" t="s">
        <v>5</v>
      </c>
      <c r="K39" s="4" t="s">
        <v>3</v>
      </c>
      <c r="L39" s="4" t="s">
        <v>6</v>
      </c>
      <c r="M39" s="4" t="s">
        <v>7</v>
      </c>
      <c r="N39" s="4" t="s">
        <v>3</v>
      </c>
      <c r="O39" s="4" t="s">
        <v>8</v>
      </c>
      <c r="P39" s="4" t="s">
        <v>5</v>
      </c>
      <c r="Q39" s="4" t="s">
        <v>3</v>
      </c>
      <c r="R39" s="4" t="s">
        <v>3</v>
      </c>
      <c r="S39" s="5" t="s">
        <v>28</v>
      </c>
      <c r="T39" s="4" t="s">
        <v>4</v>
      </c>
      <c r="U39" s="5" t="s">
        <v>65</v>
      </c>
    </row>
    <row r="40" spans="1:21" x14ac:dyDescent="0.25">
      <c r="A40" s="10"/>
      <c r="B40" s="8">
        <v>37</v>
      </c>
      <c r="C40" s="4" t="s">
        <v>63</v>
      </c>
      <c r="D40" s="4" t="s">
        <v>2</v>
      </c>
      <c r="E40" s="4" t="s">
        <v>3</v>
      </c>
      <c r="F40" s="4" t="s">
        <v>2</v>
      </c>
      <c r="G40" s="4" t="s">
        <v>2</v>
      </c>
      <c r="H40" s="4" t="s">
        <v>4</v>
      </c>
      <c r="I40" s="4" t="s">
        <v>3</v>
      </c>
      <c r="J40" s="4" t="s">
        <v>5</v>
      </c>
      <c r="K40" s="4" t="s">
        <v>3</v>
      </c>
      <c r="L40" s="4" t="s">
        <v>6</v>
      </c>
      <c r="M40" s="4" t="s">
        <v>7</v>
      </c>
      <c r="N40" s="4" t="s">
        <v>3</v>
      </c>
      <c r="O40" s="4" t="s">
        <v>8</v>
      </c>
      <c r="P40" s="4" t="s">
        <v>5</v>
      </c>
      <c r="Q40" s="4" t="s">
        <v>3</v>
      </c>
      <c r="R40" s="4" t="s">
        <v>3</v>
      </c>
      <c r="S40" s="4" t="s">
        <v>4</v>
      </c>
      <c r="T40" s="5" t="s">
        <v>28</v>
      </c>
      <c r="U40" s="4" t="s">
        <v>9</v>
      </c>
    </row>
    <row r="41" spans="1:21" x14ac:dyDescent="0.25">
      <c r="A41" s="10"/>
      <c r="B41" s="8">
        <v>38</v>
      </c>
      <c r="C41" s="4" t="s">
        <v>63</v>
      </c>
      <c r="D41" s="4" t="s">
        <v>2</v>
      </c>
      <c r="E41" s="4" t="s">
        <v>3</v>
      </c>
      <c r="F41" s="4" t="s">
        <v>2</v>
      </c>
      <c r="G41" s="4" t="s">
        <v>2</v>
      </c>
      <c r="H41" s="5" t="s">
        <v>28</v>
      </c>
      <c r="I41" s="4" t="s">
        <v>3</v>
      </c>
      <c r="J41" s="4" t="s">
        <v>5</v>
      </c>
      <c r="K41" s="4" t="s">
        <v>3</v>
      </c>
      <c r="L41" s="4" t="s">
        <v>6</v>
      </c>
      <c r="M41" s="4" t="s">
        <v>7</v>
      </c>
      <c r="N41" s="4" t="s">
        <v>3</v>
      </c>
      <c r="O41" s="4" t="s">
        <v>8</v>
      </c>
      <c r="P41" s="4" t="s">
        <v>5</v>
      </c>
      <c r="Q41" s="4" t="s">
        <v>3</v>
      </c>
      <c r="R41" s="4" t="s">
        <v>3</v>
      </c>
      <c r="S41" s="4" t="s">
        <v>4</v>
      </c>
      <c r="T41" s="5" t="s">
        <v>28</v>
      </c>
      <c r="U41" s="4" t="s">
        <v>9</v>
      </c>
    </row>
    <row r="42" spans="1:21" x14ac:dyDescent="0.25">
      <c r="A42" s="10"/>
      <c r="B42" s="8">
        <v>39</v>
      </c>
      <c r="C42" s="4" t="s">
        <v>63</v>
      </c>
      <c r="D42" s="4" t="s">
        <v>2</v>
      </c>
      <c r="E42" s="4" t="s">
        <v>3</v>
      </c>
      <c r="F42" s="4" t="s">
        <v>2</v>
      </c>
      <c r="G42" s="4" t="s">
        <v>2</v>
      </c>
      <c r="H42" s="5" t="s">
        <v>12</v>
      </c>
      <c r="I42" s="4" t="s">
        <v>3</v>
      </c>
      <c r="J42" s="4" t="s">
        <v>5</v>
      </c>
      <c r="K42" s="4" t="s">
        <v>3</v>
      </c>
      <c r="L42" s="4" t="s">
        <v>6</v>
      </c>
      <c r="M42" s="4" t="s">
        <v>7</v>
      </c>
      <c r="N42" s="4" t="s">
        <v>3</v>
      </c>
      <c r="O42" s="4" t="s">
        <v>8</v>
      </c>
      <c r="P42" s="4" t="s">
        <v>5</v>
      </c>
      <c r="Q42" s="4" t="s">
        <v>3</v>
      </c>
      <c r="R42" s="4" t="s">
        <v>3</v>
      </c>
      <c r="S42" s="4" t="s">
        <v>4</v>
      </c>
      <c r="T42" s="4" t="s">
        <v>4</v>
      </c>
      <c r="U42" s="4" t="s">
        <v>9</v>
      </c>
    </row>
    <row r="43" spans="1:21" x14ac:dyDescent="0.25">
      <c r="A43" s="10"/>
      <c r="B43" s="8">
        <v>40</v>
      </c>
      <c r="C43" s="4" t="s">
        <v>63</v>
      </c>
      <c r="D43" s="4" t="s">
        <v>2</v>
      </c>
      <c r="E43" s="4" t="s">
        <v>3</v>
      </c>
      <c r="F43" s="4" t="s">
        <v>2</v>
      </c>
      <c r="G43" s="4" t="s">
        <v>2</v>
      </c>
      <c r="H43" s="4" t="s">
        <v>4</v>
      </c>
      <c r="I43" s="4" t="s">
        <v>3</v>
      </c>
      <c r="J43" s="4" t="s">
        <v>5</v>
      </c>
      <c r="K43" s="4" t="s">
        <v>3</v>
      </c>
      <c r="L43" s="4" t="s">
        <v>6</v>
      </c>
      <c r="M43" s="4" t="s">
        <v>7</v>
      </c>
      <c r="N43" s="4" t="s">
        <v>3</v>
      </c>
      <c r="O43" s="4" t="s">
        <v>8</v>
      </c>
      <c r="P43" s="4" t="s">
        <v>5</v>
      </c>
      <c r="Q43" s="4" t="s">
        <v>3</v>
      </c>
      <c r="R43" s="4" t="s">
        <v>3</v>
      </c>
      <c r="S43" s="5" t="s">
        <v>28</v>
      </c>
      <c r="T43" s="5" t="s">
        <v>12</v>
      </c>
      <c r="U43" s="4" t="s">
        <v>9</v>
      </c>
    </row>
    <row r="44" spans="1:21" x14ac:dyDescent="0.25">
      <c r="A44" s="10"/>
      <c r="B44" s="8">
        <v>41</v>
      </c>
      <c r="C44" s="4" t="s">
        <v>63</v>
      </c>
      <c r="D44" s="4" t="s">
        <v>2</v>
      </c>
      <c r="E44" s="4" t="s">
        <v>3</v>
      </c>
      <c r="F44" s="4" t="s">
        <v>2</v>
      </c>
      <c r="G44" s="4" t="s">
        <v>2</v>
      </c>
      <c r="H44" s="4" t="s">
        <v>4</v>
      </c>
      <c r="I44" s="4" t="s">
        <v>3</v>
      </c>
      <c r="J44" s="4" t="s">
        <v>5</v>
      </c>
      <c r="K44" s="4" t="s">
        <v>3</v>
      </c>
      <c r="L44" s="4" t="s">
        <v>6</v>
      </c>
      <c r="M44" s="4" t="s">
        <v>7</v>
      </c>
      <c r="N44" s="4" t="s">
        <v>3</v>
      </c>
      <c r="O44" s="4" t="s">
        <v>8</v>
      </c>
      <c r="P44" s="4" t="s">
        <v>5</v>
      </c>
      <c r="Q44" s="4" t="s">
        <v>3</v>
      </c>
      <c r="R44" s="5" t="s">
        <v>10</v>
      </c>
      <c r="S44" s="5" t="s">
        <v>12</v>
      </c>
      <c r="T44" s="4" t="s">
        <v>4</v>
      </c>
      <c r="U44" s="5" t="s">
        <v>65</v>
      </c>
    </row>
    <row r="45" spans="1:21" x14ac:dyDescent="0.25">
      <c r="A45" s="10"/>
      <c r="B45" s="8">
        <v>42</v>
      </c>
      <c r="C45" s="4" t="s">
        <v>63</v>
      </c>
      <c r="D45" s="4" t="s">
        <v>2</v>
      </c>
      <c r="E45" s="4" t="s">
        <v>3</v>
      </c>
      <c r="F45" s="4" t="s">
        <v>2</v>
      </c>
      <c r="G45" s="4" t="s">
        <v>2</v>
      </c>
      <c r="H45" s="5" t="s">
        <v>28</v>
      </c>
      <c r="I45" s="4" t="s">
        <v>3</v>
      </c>
      <c r="J45" s="4" t="s">
        <v>5</v>
      </c>
      <c r="K45" s="4" t="s">
        <v>3</v>
      </c>
      <c r="L45" s="4" t="s">
        <v>6</v>
      </c>
      <c r="M45" s="4" t="s">
        <v>7</v>
      </c>
      <c r="N45" s="4" t="s">
        <v>3</v>
      </c>
      <c r="O45" s="4" t="s">
        <v>8</v>
      </c>
      <c r="P45" s="4" t="s">
        <v>5</v>
      </c>
      <c r="Q45" s="4" t="s">
        <v>3</v>
      </c>
      <c r="R45" s="4" t="s">
        <v>3</v>
      </c>
      <c r="S45" s="5" t="s">
        <v>12</v>
      </c>
      <c r="T45" s="4" t="s">
        <v>4</v>
      </c>
      <c r="U45" s="4" t="s">
        <v>9</v>
      </c>
    </row>
  </sheetData>
  <mergeCells count="8">
    <mergeCell ref="A25:A35"/>
    <mergeCell ref="A36:A45"/>
    <mergeCell ref="C1:U1"/>
    <mergeCell ref="A4:A10"/>
    <mergeCell ref="A11:A16"/>
    <mergeCell ref="A17:A24"/>
    <mergeCell ref="A1:A3"/>
    <mergeCell ref="B1:B3"/>
  </mergeCells>
  <phoneticPr fontId="1" type="noConversion"/>
  <pageMargins left="0.7" right="0.7" top="0.75" bottom="0.75" header="0.3" footer="0.3"/>
  <pageSetup paperSize="9" scale="7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5"/>
  <sheetViews>
    <sheetView workbookViewId="0">
      <selection activeCell="Z16" sqref="Z16"/>
    </sheetView>
  </sheetViews>
  <sheetFormatPr defaultRowHeight="13.8" x14ac:dyDescent="0.25"/>
  <cols>
    <col min="1" max="1" width="9.5546875" customWidth="1"/>
    <col min="2" max="2" width="11.6640625" customWidth="1"/>
    <col min="3" max="3" width="3.88671875" customWidth="1"/>
    <col min="4" max="4" width="11.6640625" customWidth="1"/>
    <col min="5" max="6" width="12.6640625" customWidth="1"/>
    <col min="7" max="7" width="3.88671875" customWidth="1"/>
    <col min="8" max="8" width="3.5546875" customWidth="1"/>
    <col min="9" max="9" width="4.21875" customWidth="1"/>
    <col min="10" max="10" width="3.88671875" customWidth="1"/>
    <col min="11" max="11" width="4.44140625" customWidth="1"/>
    <col min="12" max="12" width="4.109375" customWidth="1"/>
    <col min="13" max="13" width="3.77734375" customWidth="1"/>
    <col min="14" max="14" width="3.88671875" customWidth="1"/>
    <col min="15" max="15" width="4.21875" customWidth="1"/>
    <col min="16" max="16" width="10.109375" bestFit="1" customWidth="1"/>
  </cols>
  <sheetData>
    <row r="1" spans="1:16" x14ac:dyDescent="0.25">
      <c r="A1" t="s">
        <v>66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108</v>
      </c>
    </row>
    <row r="2" spans="1:16" x14ac:dyDescent="0.25">
      <c r="A2" t="s">
        <v>67</v>
      </c>
      <c r="B2">
        <v>168</v>
      </c>
      <c r="C2">
        <v>44</v>
      </c>
      <c r="D2">
        <v>41.333333333333329</v>
      </c>
      <c r="E2">
        <v>0.33333333333333331</v>
      </c>
      <c r="F2">
        <v>0.33333333333333331</v>
      </c>
      <c r="G2">
        <v>0</v>
      </c>
      <c r="H2">
        <v>26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95</v>
      </c>
    </row>
    <row r="3" spans="1:16" x14ac:dyDescent="0.25">
      <c r="A3" t="s">
        <v>68</v>
      </c>
      <c r="B3">
        <v>40</v>
      </c>
      <c r="C3">
        <v>0</v>
      </c>
      <c r="D3">
        <v>0</v>
      </c>
      <c r="E3">
        <v>0</v>
      </c>
      <c r="F3">
        <v>0</v>
      </c>
      <c r="G3">
        <v>37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40</v>
      </c>
      <c r="P3" t="s">
        <v>96</v>
      </c>
    </row>
    <row r="4" spans="1:16" x14ac:dyDescent="0.25">
      <c r="A4" t="s">
        <v>69</v>
      </c>
      <c r="B4">
        <v>11</v>
      </c>
      <c r="C4">
        <v>0</v>
      </c>
      <c r="D4">
        <v>0</v>
      </c>
      <c r="E4">
        <v>42</v>
      </c>
      <c r="F4">
        <v>42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97</v>
      </c>
    </row>
    <row r="5" spans="1:16" x14ac:dyDescent="0.25">
      <c r="A5" t="s">
        <v>70</v>
      </c>
      <c r="B5">
        <v>1.6666666666666665</v>
      </c>
      <c r="C5">
        <v>0</v>
      </c>
      <c r="D5">
        <v>6.6666666666666661</v>
      </c>
      <c r="E5">
        <v>0</v>
      </c>
      <c r="F5">
        <v>6.6666666666666661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98</v>
      </c>
    </row>
    <row r="6" spans="1:16" x14ac:dyDescent="0.25">
      <c r="A6" t="s">
        <v>71</v>
      </c>
      <c r="B6">
        <v>2</v>
      </c>
      <c r="C6">
        <v>0</v>
      </c>
      <c r="D6">
        <v>7</v>
      </c>
      <c r="E6">
        <v>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99</v>
      </c>
    </row>
    <row r="7" spans="1:16" x14ac:dyDescent="0.25">
      <c r="A7" t="s">
        <v>72</v>
      </c>
      <c r="B7">
        <v>0</v>
      </c>
      <c r="C7">
        <v>5</v>
      </c>
      <c r="D7">
        <v>0</v>
      </c>
      <c r="E7">
        <v>0</v>
      </c>
      <c r="F7">
        <v>0</v>
      </c>
      <c r="G7">
        <v>42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100</v>
      </c>
    </row>
    <row r="8" spans="1:16" x14ac:dyDescent="0.25">
      <c r="A8" t="s">
        <v>73</v>
      </c>
      <c r="B8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109</v>
      </c>
    </row>
    <row r="9" spans="1:16" x14ac:dyDescent="0.25">
      <c r="A9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41</v>
      </c>
      <c r="P9" t="s">
        <v>101</v>
      </c>
    </row>
    <row r="10" spans="1:16" x14ac:dyDescent="0.25">
      <c r="A10" t="s">
        <v>75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</v>
      </c>
      <c r="O10">
        <v>0</v>
      </c>
      <c r="P10" t="s">
        <v>102</v>
      </c>
    </row>
    <row r="11" spans="1:16" x14ac:dyDescent="0.25">
      <c r="A11" t="s">
        <v>76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41</v>
      </c>
      <c r="N11">
        <v>0</v>
      </c>
      <c r="O11">
        <v>0</v>
      </c>
      <c r="P11" t="s">
        <v>103</v>
      </c>
    </row>
    <row r="12" spans="1:16" x14ac:dyDescent="0.25">
      <c r="A12" t="s">
        <v>77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42</v>
      </c>
      <c r="M12">
        <v>0</v>
      </c>
      <c r="N12">
        <v>0</v>
      </c>
      <c r="O12">
        <v>0</v>
      </c>
      <c r="P12" t="s">
        <v>104</v>
      </c>
    </row>
    <row r="13" spans="1:16" x14ac:dyDescent="0.25">
      <c r="A13" t="s">
        <v>78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 t="s">
        <v>105</v>
      </c>
    </row>
    <row r="14" spans="1:16" x14ac:dyDescent="0.25">
      <c r="A14" t="s">
        <v>79</v>
      </c>
      <c r="B14">
        <v>0</v>
      </c>
      <c r="C14">
        <v>41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38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106</v>
      </c>
    </row>
    <row r="15" spans="1:16" x14ac:dyDescent="0.25">
      <c r="A15" t="s">
        <v>80</v>
      </c>
      <c r="B15">
        <v>0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107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5"/>
  <sheetViews>
    <sheetView workbookViewId="0">
      <selection activeCell="C60" sqref="C60"/>
    </sheetView>
  </sheetViews>
  <sheetFormatPr defaultRowHeight="13.8" x14ac:dyDescent="0.25"/>
  <cols>
    <col min="1" max="2" width="10.21875" customWidth="1"/>
    <col min="3" max="3" width="7.77734375" customWidth="1"/>
    <col min="4" max="5" width="12.6640625" customWidth="1"/>
  </cols>
  <sheetData>
    <row r="1" spans="1:7" x14ac:dyDescent="0.25">
      <c r="A1" t="s">
        <v>110</v>
      </c>
      <c r="B1" t="s">
        <v>111</v>
      </c>
      <c r="C1" t="s">
        <v>112</v>
      </c>
      <c r="D1" t="s">
        <v>174</v>
      </c>
      <c r="E1" t="s">
        <v>175</v>
      </c>
      <c r="F1">
        <v>90.7</v>
      </c>
      <c r="G1">
        <v>90.7</v>
      </c>
    </row>
    <row r="2" spans="1:7" x14ac:dyDescent="0.25">
      <c r="A2">
        <v>1</v>
      </c>
      <c r="B2">
        <v>0</v>
      </c>
      <c r="C2" t="s">
        <v>113</v>
      </c>
      <c r="D2">
        <v>42</v>
      </c>
      <c r="E2">
        <v>17.425261982866481</v>
      </c>
      <c r="F2">
        <f>F1-E2</f>
        <v>73.274738017133529</v>
      </c>
      <c r="G2">
        <v>73.274738017133529</v>
      </c>
    </row>
    <row r="3" spans="1:7" x14ac:dyDescent="0.25">
      <c r="A3">
        <v>1</v>
      </c>
      <c r="B3">
        <v>0</v>
      </c>
      <c r="C3" t="s">
        <v>114</v>
      </c>
      <c r="D3">
        <v>42</v>
      </c>
      <c r="E3">
        <v>17.425261982866481</v>
      </c>
      <c r="F3">
        <f t="shared" ref="F3:F65" si="0">F2-E3</f>
        <v>55.849476034267049</v>
      </c>
      <c r="G3">
        <v>55.849476034267049</v>
      </c>
    </row>
    <row r="4" spans="1:7" x14ac:dyDescent="0.25">
      <c r="A4">
        <v>1</v>
      </c>
      <c r="B4">
        <v>0</v>
      </c>
      <c r="C4" t="s">
        <v>115</v>
      </c>
      <c r="D4">
        <v>42</v>
      </c>
      <c r="E4">
        <v>17.425261982866481</v>
      </c>
      <c r="F4">
        <f t="shared" si="0"/>
        <v>38.424214051400568</v>
      </c>
      <c r="G4">
        <v>38.424214051400568</v>
      </c>
    </row>
    <row r="5" spans="1:7" x14ac:dyDescent="0.25">
      <c r="A5">
        <v>1</v>
      </c>
      <c r="B5">
        <v>0</v>
      </c>
      <c r="C5" t="s">
        <v>116</v>
      </c>
      <c r="D5">
        <v>42</v>
      </c>
      <c r="E5">
        <v>17.425261982866481</v>
      </c>
      <c r="F5">
        <f t="shared" si="0"/>
        <v>20.998952068534088</v>
      </c>
      <c r="G5">
        <v>20.998952068534088</v>
      </c>
    </row>
    <row r="6" spans="1:7" x14ac:dyDescent="0.25">
      <c r="A6">
        <v>1</v>
      </c>
      <c r="B6">
        <v>2</v>
      </c>
      <c r="C6" t="s">
        <v>118</v>
      </c>
      <c r="D6">
        <v>41</v>
      </c>
      <c r="E6">
        <v>17.010374792798231</v>
      </c>
      <c r="F6">
        <f t="shared" si="0"/>
        <v>3.9885772757358566</v>
      </c>
      <c r="G6">
        <v>3.9885772757358602</v>
      </c>
    </row>
    <row r="7" spans="1:7" x14ac:dyDescent="0.25">
      <c r="A7">
        <v>1</v>
      </c>
      <c r="B7">
        <v>2</v>
      </c>
      <c r="C7" t="s">
        <v>117</v>
      </c>
      <c r="D7">
        <v>3</v>
      </c>
      <c r="E7">
        <v>1.2446615702047488</v>
      </c>
      <c r="F7">
        <f t="shared" si="0"/>
        <v>2.7439157055311076</v>
      </c>
      <c r="G7">
        <v>2.7439157055311099</v>
      </c>
    </row>
    <row r="8" spans="1:7" x14ac:dyDescent="0.25">
      <c r="A8">
        <v>1</v>
      </c>
      <c r="B8">
        <v>3</v>
      </c>
      <c r="C8" t="s">
        <v>120</v>
      </c>
      <c r="D8">
        <v>41</v>
      </c>
      <c r="E8">
        <v>17.010374792798231</v>
      </c>
      <c r="F8">
        <f>F7-E8+360</f>
        <v>345.73354091273291</v>
      </c>
      <c r="G8">
        <v>345.73354091273291</v>
      </c>
    </row>
    <row r="9" spans="1:7" x14ac:dyDescent="0.25">
      <c r="A9">
        <v>1</v>
      </c>
      <c r="B9">
        <v>3</v>
      </c>
      <c r="C9" t="s">
        <v>119</v>
      </c>
      <c r="D9">
        <v>0.33333333333333331</v>
      </c>
      <c r="E9">
        <v>0.13829573002274986</v>
      </c>
      <c r="F9">
        <f t="shared" si="0"/>
        <v>345.59524518271013</v>
      </c>
      <c r="G9">
        <v>345.59524518271002</v>
      </c>
    </row>
    <row r="10" spans="1:7" x14ac:dyDescent="0.25">
      <c r="A10">
        <v>1</v>
      </c>
      <c r="B10">
        <v>4</v>
      </c>
      <c r="C10" t="s">
        <v>121</v>
      </c>
      <c r="D10">
        <v>0.33333333333333331</v>
      </c>
      <c r="E10">
        <v>0.13829573002274986</v>
      </c>
      <c r="F10">
        <f t="shared" si="0"/>
        <v>345.45694945268735</v>
      </c>
      <c r="G10">
        <v>345.45694945268735</v>
      </c>
    </row>
    <row r="11" spans="1:7" x14ac:dyDescent="0.25">
      <c r="A11">
        <v>1</v>
      </c>
      <c r="B11">
        <v>5</v>
      </c>
      <c r="C11" t="s">
        <v>121</v>
      </c>
      <c r="D11">
        <v>0.33333333333333331</v>
      </c>
      <c r="E11">
        <v>0.13829573002274986</v>
      </c>
      <c r="F11">
        <f t="shared" si="0"/>
        <v>345.31865372266458</v>
      </c>
      <c r="G11">
        <v>345.31865372266458</v>
      </c>
    </row>
    <row r="12" spans="1:7" x14ac:dyDescent="0.25">
      <c r="A12">
        <v>1</v>
      </c>
      <c r="B12">
        <v>7</v>
      </c>
      <c r="C12" t="s">
        <v>122</v>
      </c>
      <c r="D12">
        <v>26</v>
      </c>
      <c r="E12">
        <v>10.787066941774489</v>
      </c>
      <c r="F12">
        <f t="shared" si="0"/>
        <v>334.53158678089011</v>
      </c>
      <c r="G12">
        <v>334.53158678089011</v>
      </c>
    </row>
    <row r="13" spans="1:7" x14ac:dyDescent="0.25">
      <c r="A13">
        <v>0</v>
      </c>
      <c r="B13">
        <v>0</v>
      </c>
      <c r="C13" t="s">
        <v>123</v>
      </c>
      <c r="D13">
        <v>5</v>
      </c>
      <c r="E13">
        <v>2.0744359503412477</v>
      </c>
      <c r="F13">
        <f t="shared" si="0"/>
        <v>332.45715083054887</v>
      </c>
      <c r="G13">
        <v>332.45715083054887</v>
      </c>
    </row>
    <row r="14" spans="1:7" x14ac:dyDescent="0.25">
      <c r="A14">
        <v>2</v>
      </c>
      <c r="B14">
        <v>1</v>
      </c>
      <c r="C14" t="s">
        <v>124</v>
      </c>
      <c r="D14">
        <v>39</v>
      </c>
      <c r="E14">
        <v>16.180600412661732</v>
      </c>
      <c r="F14">
        <f t="shared" si="0"/>
        <v>316.27655041788717</v>
      </c>
      <c r="G14">
        <v>316.27655041788717</v>
      </c>
    </row>
    <row r="15" spans="1:7" x14ac:dyDescent="0.25">
      <c r="A15">
        <v>2</v>
      </c>
      <c r="B15">
        <v>1</v>
      </c>
      <c r="C15" t="s">
        <v>125</v>
      </c>
      <c r="D15">
        <v>1</v>
      </c>
      <c r="E15">
        <v>0.41488719006824959</v>
      </c>
      <c r="F15">
        <f t="shared" si="0"/>
        <v>315.86166322781889</v>
      </c>
      <c r="G15">
        <v>315.86166322781889</v>
      </c>
    </row>
    <row r="16" spans="1:7" x14ac:dyDescent="0.25">
      <c r="A16">
        <v>2</v>
      </c>
      <c r="B16">
        <v>6</v>
      </c>
      <c r="C16" t="s">
        <v>126</v>
      </c>
      <c r="D16">
        <v>37</v>
      </c>
      <c r="E16">
        <v>15.350826032525234</v>
      </c>
      <c r="F16">
        <f t="shared" si="0"/>
        <v>300.51083719529367</v>
      </c>
      <c r="G16">
        <v>300.51083719529367</v>
      </c>
    </row>
    <row r="17" spans="1:7" x14ac:dyDescent="0.25">
      <c r="A17">
        <v>2</v>
      </c>
      <c r="B17">
        <v>13</v>
      </c>
      <c r="C17" t="s">
        <v>127</v>
      </c>
      <c r="D17">
        <v>1</v>
      </c>
      <c r="E17">
        <v>0.41488719006824959</v>
      </c>
      <c r="F17">
        <f t="shared" si="0"/>
        <v>300.0959500052254</v>
      </c>
      <c r="G17">
        <v>300.0959500052254</v>
      </c>
    </row>
    <row r="18" spans="1:7" x14ac:dyDescent="0.25">
      <c r="A18">
        <v>2</v>
      </c>
      <c r="B18">
        <v>14</v>
      </c>
      <c r="C18" t="s">
        <v>128</v>
      </c>
      <c r="D18">
        <v>40</v>
      </c>
      <c r="E18">
        <v>16.595487602729982</v>
      </c>
      <c r="F18">
        <f t="shared" si="0"/>
        <v>283.50046240249543</v>
      </c>
      <c r="G18">
        <v>283.50046240249543</v>
      </c>
    </row>
    <row r="19" spans="1:7" x14ac:dyDescent="0.25">
      <c r="A19">
        <v>0</v>
      </c>
      <c r="B19">
        <v>0</v>
      </c>
      <c r="C19" t="s">
        <v>129</v>
      </c>
      <c r="D19">
        <v>5</v>
      </c>
      <c r="E19">
        <v>2.0744359503412477</v>
      </c>
      <c r="F19">
        <f t="shared" si="0"/>
        <v>281.42602645215419</v>
      </c>
      <c r="G19">
        <v>281.42602645215419</v>
      </c>
    </row>
    <row r="20" spans="1:7" x14ac:dyDescent="0.25">
      <c r="A20">
        <v>3</v>
      </c>
      <c r="B20">
        <v>1</v>
      </c>
      <c r="C20" t="s">
        <v>130</v>
      </c>
      <c r="D20">
        <v>10</v>
      </c>
      <c r="E20">
        <v>4.1488719006824955</v>
      </c>
      <c r="F20">
        <f t="shared" si="0"/>
        <v>277.27715455147171</v>
      </c>
      <c r="G20">
        <v>277.27715455147171</v>
      </c>
    </row>
    <row r="21" spans="1:7" x14ac:dyDescent="0.25">
      <c r="A21">
        <v>3</v>
      </c>
      <c r="B21">
        <v>1</v>
      </c>
      <c r="C21" t="s">
        <v>131</v>
      </c>
      <c r="D21">
        <v>1</v>
      </c>
      <c r="E21">
        <v>0.41488719006824959</v>
      </c>
      <c r="F21">
        <f t="shared" si="0"/>
        <v>276.86226736140344</v>
      </c>
      <c r="G21">
        <v>276.86226736140344</v>
      </c>
    </row>
    <row r="22" spans="1:7" x14ac:dyDescent="0.25">
      <c r="A22">
        <v>3</v>
      </c>
      <c r="B22">
        <v>4</v>
      </c>
      <c r="C22" t="s">
        <v>133</v>
      </c>
      <c r="D22">
        <v>13</v>
      </c>
      <c r="E22">
        <v>5.3935334708872444</v>
      </c>
      <c r="F22">
        <f t="shared" si="0"/>
        <v>271.46873389051621</v>
      </c>
      <c r="G22">
        <v>271.46873389051621</v>
      </c>
    </row>
    <row r="23" spans="1:7" x14ac:dyDescent="0.25">
      <c r="A23">
        <v>3</v>
      </c>
      <c r="B23">
        <v>4</v>
      </c>
      <c r="C23" t="s">
        <v>134</v>
      </c>
      <c r="D23">
        <v>19</v>
      </c>
      <c r="E23">
        <v>7.8828566112967415</v>
      </c>
      <c r="F23">
        <f t="shared" si="0"/>
        <v>263.58587727921946</v>
      </c>
      <c r="G23">
        <v>263.58587727921946</v>
      </c>
    </row>
    <row r="24" spans="1:7" x14ac:dyDescent="0.25">
      <c r="A24">
        <v>3</v>
      </c>
      <c r="B24">
        <v>4</v>
      </c>
      <c r="C24" t="s">
        <v>132</v>
      </c>
      <c r="D24">
        <v>10</v>
      </c>
      <c r="E24">
        <v>4.1488719006824955</v>
      </c>
      <c r="F24">
        <f t="shared" si="0"/>
        <v>259.43700537853698</v>
      </c>
      <c r="G24">
        <v>259.43700537853698</v>
      </c>
    </row>
    <row r="25" spans="1:7" x14ac:dyDescent="0.25">
      <c r="A25">
        <v>3</v>
      </c>
      <c r="B25">
        <v>5</v>
      </c>
      <c r="C25" t="s">
        <v>136</v>
      </c>
      <c r="D25">
        <v>13</v>
      </c>
      <c r="E25">
        <v>5.3935334708872444</v>
      </c>
      <c r="F25">
        <f t="shared" si="0"/>
        <v>254.04347190764975</v>
      </c>
      <c r="G25">
        <v>254.04347190764975</v>
      </c>
    </row>
    <row r="26" spans="1:7" x14ac:dyDescent="0.25">
      <c r="A26">
        <v>3</v>
      </c>
      <c r="B26">
        <v>5</v>
      </c>
      <c r="C26" t="s">
        <v>137</v>
      </c>
      <c r="D26">
        <v>19</v>
      </c>
      <c r="E26">
        <v>7.8828566112967415</v>
      </c>
      <c r="F26">
        <f t="shared" si="0"/>
        <v>246.160615296353</v>
      </c>
      <c r="G26">
        <v>246.160615296353</v>
      </c>
    </row>
    <row r="27" spans="1:7" x14ac:dyDescent="0.25">
      <c r="A27">
        <v>3</v>
      </c>
      <c r="B27">
        <v>5</v>
      </c>
      <c r="C27" t="s">
        <v>135</v>
      </c>
      <c r="D27">
        <v>10</v>
      </c>
      <c r="E27">
        <v>4.1488719006824955</v>
      </c>
      <c r="F27">
        <f t="shared" si="0"/>
        <v>242.01174339567049</v>
      </c>
      <c r="G27">
        <v>242.01174339567049</v>
      </c>
    </row>
    <row r="28" spans="1:7" x14ac:dyDescent="0.25">
      <c r="A28">
        <v>0</v>
      </c>
      <c r="B28">
        <v>0</v>
      </c>
      <c r="C28" t="s">
        <v>138</v>
      </c>
      <c r="D28">
        <v>5</v>
      </c>
      <c r="E28">
        <v>2.0744359503412477</v>
      </c>
      <c r="F28">
        <f t="shared" si="0"/>
        <v>239.93730744532925</v>
      </c>
      <c r="G28">
        <v>239.93730744532925</v>
      </c>
    </row>
    <row r="29" spans="1:7" x14ac:dyDescent="0.25">
      <c r="A29">
        <v>4</v>
      </c>
      <c r="B29">
        <v>1</v>
      </c>
      <c r="C29" t="s">
        <v>139</v>
      </c>
      <c r="D29">
        <v>1.6666666666666665</v>
      </c>
      <c r="E29">
        <v>0.69147865011374932</v>
      </c>
      <c r="F29">
        <f t="shared" si="0"/>
        <v>239.24582879521552</v>
      </c>
      <c r="G29">
        <v>239.24582879521552</v>
      </c>
    </row>
    <row r="30" spans="1:7" x14ac:dyDescent="0.25">
      <c r="A30">
        <v>4</v>
      </c>
      <c r="B30">
        <v>3</v>
      </c>
      <c r="C30" t="s">
        <v>140</v>
      </c>
      <c r="D30">
        <v>4</v>
      </c>
      <c r="E30">
        <v>1.6595487602729984</v>
      </c>
      <c r="F30">
        <f t="shared" si="0"/>
        <v>237.58628003494252</v>
      </c>
      <c r="G30">
        <v>237.58628003494252</v>
      </c>
    </row>
    <row r="31" spans="1:7" x14ac:dyDescent="0.25">
      <c r="A31">
        <v>4</v>
      </c>
      <c r="B31">
        <v>3</v>
      </c>
      <c r="C31" t="s">
        <v>141</v>
      </c>
      <c r="D31">
        <v>1</v>
      </c>
      <c r="E31">
        <v>0.41488719006824959</v>
      </c>
      <c r="F31">
        <f t="shared" si="0"/>
        <v>237.17139284487428</v>
      </c>
      <c r="G31">
        <v>237.17139284487428</v>
      </c>
    </row>
    <row r="32" spans="1:7" x14ac:dyDescent="0.25">
      <c r="A32">
        <v>4</v>
      </c>
      <c r="B32">
        <v>3</v>
      </c>
      <c r="C32" t="s">
        <v>139</v>
      </c>
      <c r="D32">
        <v>1.6666666666666665</v>
      </c>
      <c r="E32">
        <v>0.69147865011374932</v>
      </c>
      <c r="F32">
        <f t="shared" si="0"/>
        <v>236.47991419476054</v>
      </c>
      <c r="G32">
        <v>236.47991419476054</v>
      </c>
    </row>
    <row r="33" spans="1:7" x14ac:dyDescent="0.25">
      <c r="A33">
        <v>4</v>
      </c>
      <c r="B33">
        <v>5</v>
      </c>
      <c r="C33" t="s">
        <v>143</v>
      </c>
      <c r="D33">
        <v>4</v>
      </c>
      <c r="E33">
        <v>1.6595487602729984</v>
      </c>
      <c r="F33">
        <f t="shared" si="0"/>
        <v>234.82036543448754</v>
      </c>
      <c r="G33">
        <v>234.82036543448754</v>
      </c>
    </row>
    <row r="34" spans="1:7" x14ac:dyDescent="0.25">
      <c r="A34">
        <v>4</v>
      </c>
      <c r="B34">
        <v>5</v>
      </c>
      <c r="C34" t="s">
        <v>144</v>
      </c>
      <c r="D34">
        <v>1</v>
      </c>
      <c r="E34">
        <v>0.41488719006824959</v>
      </c>
      <c r="F34">
        <f t="shared" si="0"/>
        <v>234.4054782444193</v>
      </c>
      <c r="G34">
        <v>234.4054782444193</v>
      </c>
    </row>
    <row r="35" spans="1:7" x14ac:dyDescent="0.25">
      <c r="A35">
        <v>4</v>
      </c>
      <c r="B35">
        <v>5</v>
      </c>
      <c r="C35" t="s">
        <v>142</v>
      </c>
      <c r="D35">
        <v>1.6666666666666665</v>
      </c>
      <c r="E35">
        <v>0.69147865011374932</v>
      </c>
      <c r="F35">
        <f t="shared" si="0"/>
        <v>233.71399959430556</v>
      </c>
      <c r="G35">
        <v>233.71399959430556</v>
      </c>
    </row>
    <row r="36" spans="1:7" x14ac:dyDescent="0.25">
      <c r="A36">
        <v>0</v>
      </c>
      <c r="B36">
        <v>0</v>
      </c>
      <c r="C36" t="s">
        <v>145</v>
      </c>
      <c r="D36">
        <v>5</v>
      </c>
      <c r="E36">
        <v>2.0744359503412477</v>
      </c>
      <c r="F36">
        <f t="shared" si="0"/>
        <v>231.63956364396432</v>
      </c>
      <c r="G36">
        <v>231.63956364396432</v>
      </c>
    </row>
    <row r="37" spans="1:7" x14ac:dyDescent="0.25">
      <c r="A37">
        <v>5</v>
      </c>
      <c r="B37">
        <v>1</v>
      </c>
      <c r="C37" t="s">
        <v>146</v>
      </c>
      <c r="D37">
        <v>2</v>
      </c>
      <c r="E37">
        <v>0.82977438013649918</v>
      </c>
      <c r="F37">
        <f t="shared" si="0"/>
        <v>230.80978926382781</v>
      </c>
      <c r="G37">
        <v>230.80978926382781</v>
      </c>
    </row>
    <row r="38" spans="1:7" x14ac:dyDescent="0.25">
      <c r="A38">
        <v>5</v>
      </c>
      <c r="B38">
        <v>3</v>
      </c>
      <c r="C38" t="s">
        <v>147</v>
      </c>
      <c r="D38">
        <v>4</v>
      </c>
      <c r="E38">
        <v>1.6595487602729984</v>
      </c>
      <c r="F38">
        <f t="shared" si="0"/>
        <v>229.15024050355481</v>
      </c>
      <c r="G38">
        <v>229.15024050355481</v>
      </c>
    </row>
    <row r="39" spans="1:7" x14ac:dyDescent="0.25">
      <c r="A39">
        <v>5</v>
      </c>
      <c r="B39">
        <v>3</v>
      </c>
      <c r="C39" t="s">
        <v>148</v>
      </c>
      <c r="D39">
        <v>1</v>
      </c>
      <c r="E39">
        <v>0.41488719006824959</v>
      </c>
      <c r="F39">
        <f t="shared" si="0"/>
        <v>228.73535331348657</v>
      </c>
      <c r="G39">
        <v>228.73535331348657</v>
      </c>
    </row>
    <row r="40" spans="1:7" x14ac:dyDescent="0.25">
      <c r="A40">
        <v>5</v>
      </c>
      <c r="B40">
        <v>3</v>
      </c>
      <c r="C40" t="s">
        <v>146</v>
      </c>
      <c r="D40">
        <v>2</v>
      </c>
      <c r="E40">
        <v>0.82977438013649918</v>
      </c>
      <c r="F40">
        <f t="shared" si="0"/>
        <v>227.90557893335006</v>
      </c>
      <c r="G40">
        <v>227.90557893335006</v>
      </c>
    </row>
    <row r="41" spans="1:7" x14ac:dyDescent="0.25">
      <c r="A41">
        <v>5</v>
      </c>
      <c r="B41">
        <v>4</v>
      </c>
      <c r="C41" t="s">
        <v>150</v>
      </c>
      <c r="D41">
        <v>4</v>
      </c>
      <c r="E41">
        <v>1.6595487602729984</v>
      </c>
      <c r="F41">
        <f t="shared" si="0"/>
        <v>226.24603017307706</v>
      </c>
      <c r="G41">
        <v>226.24603017307706</v>
      </c>
    </row>
    <row r="42" spans="1:7" x14ac:dyDescent="0.25">
      <c r="A42">
        <v>5</v>
      </c>
      <c r="B42">
        <v>4</v>
      </c>
      <c r="C42" t="s">
        <v>151</v>
      </c>
      <c r="D42">
        <v>1</v>
      </c>
      <c r="E42">
        <v>0.41488719006824959</v>
      </c>
      <c r="F42">
        <f t="shared" si="0"/>
        <v>225.83114298300882</v>
      </c>
      <c r="G42">
        <v>225.83114298300882</v>
      </c>
    </row>
    <row r="43" spans="1:7" x14ac:dyDescent="0.25">
      <c r="A43">
        <v>5</v>
      </c>
      <c r="B43">
        <v>4</v>
      </c>
      <c r="C43" t="s">
        <v>149</v>
      </c>
      <c r="D43">
        <v>2</v>
      </c>
      <c r="E43">
        <v>0.82977438013649918</v>
      </c>
      <c r="F43">
        <f t="shared" si="0"/>
        <v>225.0013686028723</v>
      </c>
      <c r="G43">
        <v>225.0013686028723</v>
      </c>
    </row>
    <row r="44" spans="1:7" x14ac:dyDescent="0.25">
      <c r="A44">
        <v>0</v>
      </c>
      <c r="B44">
        <v>0</v>
      </c>
      <c r="C44" t="s">
        <v>152</v>
      </c>
      <c r="D44">
        <v>5</v>
      </c>
      <c r="E44">
        <v>2.0744359503412477</v>
      </c>
      <c r="F44">
        <f t="shared" si="0"/>
        <v>222.92693265253106</v>
      </c>
      <c r="G44">
        <v>222.92693265253106</v>
      </c>
    </row>
    <row r="45" spans="1:7" x14ac:dyDescent="0.25">
      <c r="A45">
        <v>6</v>
      </c>
      <c r="B45">
        <v>0</v>
      </c>
      <c r="C45" t="s">
        <v>153</v>
      </c>
      <c r="D45">
        <v>42</v>
      </c>
      <c r="E45">
        <v>17.425261982866481</v>
      </c>
      <c r="F45">
        <f t="shared" si="0"/>
        <v>205.50167066966458</v>
      </c>
      <c r="G45">
        <v>205.50167066966458</v>
      </c>
    </row>
    <row r="46" spans="1:7" x14ac:dyDescent="0.25">
      <c r="A46">
        <v>6</v>
      </c>
      <c r="B46">
        <v>2</v>
      </c>
      <c r="C46" t="s">
        <v>154</v>
      </c>
      <c r="D46">
        <v>5</v>
      </c>
      <c r="E46">
        <v>2.0744359503412477</v>
      </c>
      <c r="F46">
        <f t="shared" si="0"/>
        <v>203.42723471932334</v>
      </c>
      <c r="G46">
        <v>203.42723471932334</v>
      </c>
    </row>
    <row r="47" spans="1:7" x14ac:dyDescent="0.25">
      <c r="A47">
        <v>0</v>
      </c>
      <c r="B47">
        <v>0</v>
      </c>
      <c r="C47" t="s">
        <v>155</v>
      </c>
      <c r="D47">
        <v>5</v>
      </c>
      <c r="E47">
        <v>2.0744359503412477</v>
      </c>
      <c r="F47">
        <f t="shared" si="0"/>
        <v>201.3527987689821</v>
      </c>
      <c r="G47">
        <v>201.3527987689821</v>
      </c>
    </row>
    <row r="48" spans="1:7" x14ac:dyDescent="0.25">
      <c r="A48">
        <v>7</v>
      </c>
      <c r="B48">
        <v>1</v>
      </c>
      <c r="C48" t="s">
        <v>156</v>
      </c>
      <c r="D48">
        <v>16</v>
      </c>
      <c r="E48">
        <v>6.6381950410919934</v>
      </c>
      <c r="F48">
        <f t="shared" si="0"/>
        <v>194.71460372789011</v>
      </c>
      <c r="G48">
        <v>194.71460372789011</v>
      </c>
    </row>
    <row r="49" spans="1:7" x14ac:dyDescent="0.25">
      <c r="A49">
        <v>0</v>
      </c>
      <c r="B49">
        <v>0</v>
      </c>
      <c r="C49" t="s">
        <v>157</v>
      </c>
      <c r="D49">
        <v>5</v>
      </c>
      <c r="E49">
        <v>2.0744359503412477</v>
      </c>
      <c r="F49">
        <f t="shared" si="0"/>
        <v>192.64016777754887</v>
      </c>
      <c r="G49">
        <v>192.64016777754887</v>
      </c>
    </row>
    <row r="50" spans="1:7" x14ac:dyDescent="0.25">
      <c r="A50">
        <v>8</v>
      </c>
      <c r="B50">
        <v>14</v>
      </c>
      <c r="C50" t="s">
        <v>158</v>
      </c>
      <c r="D50">
        <v>41</v>
      </c>
      <c r="E50">
        <v>17.010374792798231</v>
      </c>
      <c r="F50">
        <f t="shared" si="0"/>
        <v>175.62979298475062</v>
      </c>
      <c r="G50">
        <v>175.62979298475062</v>
      </c>
    </row>
    <row r="51" spans="1:7" x14ac:dyDescent="0.25">
      <c r="A51">
        <v>0</v>
      </c>
      <c r="B51">
        <v>0</v>
      </c>
      <c r="C51" t="s">
        <v>159</v>
      </c>
      <c r="D51">
        <v>5</v>
      </c>
      <c r="E51">
        <v>2.0744359503412477</v>
      </c>
      <c r="F51">
        <f t="shared" si="0"/>
        <v>173.55535703440938</v>
      </c>
      <c r="G51">
        <v>173.55535703440938</v>
      </c>
    </row>
    <row r="52" spans="1:7" x14ac:dyDescent="0.25">
      <c r="A52">
        <v>9</v>
      </c>
      <c r="B52">
        <v>13</v>
      </c>
      <c r="C52" t="s">
        <v>160</v>
      </c>
      <c r="D52">
        <v>4</v>
      </c>
      <c r="E52">
        <v>1.6595487602729984</v>
      </c>
      <c r="F52">
        <f t="shared" si="0"/>
        <v>171.89580827413639</v>
      </c>
      <c r="G52">
        <v>171.89580827413639</v>
      </c>
    </row>
    <row r="53" spans="1:7" x14ac:dyDescent="0.25">
      <c r="A53">
        <v>0</v>
      </c>
      <c r="B53">
        <v>0</v>
      </c>
      <c r="C53" t="s">
        <v>161</v>
      </c>
      <c r="D53">
        <v>5</v>
      </c>
      <c r="E53">
        <v>2.0744359503412477</v>
      </c>
      <c r="F53">
        <f t="shared" si="0"/>
        <v>169.82137232379515</v>
      </c>
      <c r="G53">
        <v>169.82137232379515</v>
      </c>
    </row>
    <row r="54" spans="1:7" x14ac:dyDescent="0.25">
      <c r="A54">
        <v>10</v>
      </c>
      <c r="B54">
        <v>12</v>
      </c>
      <c r="C54" t="s">
        <v>162</v>
      </c>
      <c r="D54">
        <v>41</v>
      </c>
      <c r="E54">
        <v>17.010374792798231</v>
      </c>
      <c r="F54">
        <f t="shared" si="0"/>
        <v>152.81099753099693</v>
      </c>
      <c r="G54">
        <v>152.81099753099693</v>
      </c>
    </row>
    <row r="55" spans="1:7" x14ac:dyDescent="0.25">
      <c r="A55">
        <v>0</v>
      </c>
      <c r="B55">
        <v>0</v>
      </c>
      <c r="C55" t="s">
        <v>163</v>
      </c>
      <c r="D55">
        <v>5</v>
      </c>
      <c r="E55">
        <v>2.0744359503412477</v>
      </c>
      <c r="F55">
        <f t="shared" si="0"/>
        <v>150.73656158065569</v>
      </c>
      <c r="G55">
        <v>150.73656158065569</v>
      </c>
    </row>
    <row r="56" spans="1:7" x14ac:dyDescent="0.25">
      <c r="A56">
        <v>11</v>
      </c>
      <c r="B56">
        <v>0</v>
      </c>
      <c r="C56" t="s">
        <v>164</v>
      </c>
      <c r="D56">
        <v>42</v>
      </c>
      <c r="E56">
        <v>17.425261982866481</v>
      </c>
      <c r="F56">
        <f t="shared" si="0"/>
        <v>133.3112995977892</v>
      </c>
      <c r="G56">
        <v>133.3112995977892</v>
      </c>
    </row>
    <row r="57" spans="1:7" x14ac:dyDescent="0.25">
      <c r="A57">
        <v>0</v>
      </c>
      <c r="B57">
        <v>0</v>
      </c>
      <c r="C57" t="s">
        <v>165</v>
      </c>
      <c r="D57">
        <v>5</v>
      </c>
      <c r="E57">
        <v>2.0744359503412477</v>
      </c>
      <c r="F57">
        <f t="shared" si="0"/>
        <v>131.23686364744796</v>
      </c>
      <c r="G57">
        <v>131.23686364744796</v>
      </c>
    </row>
    <row r="58" spans="1:7" x14ac:dyDescent="0.25">
      <c r="A58">
        <v>12</v>
      </c>
      <c r="B58">
        <v>10</v>
      </c>
      <c r="C58" t="s">
        <v>166</v>
      </c>
      <c r="D58">
        <v>1</v>
      </c>
      <c r="E58">
        <v>0.41488719006824959</v>
      </c>
      <c r="F58">
        <f t="shared" si="0"/>
        <v>130.82197645737972</v>
      </c>
      <c r="G58">
        <v>130.82197645737972</v>
      </c>
    </row>
    <row r="59" spans="1:7" x14ac:dyDescent="0.25">
      <c r="A59">
        <v>0</v>
      </c>
      <c r="B59">
        <v>0</v>
      </c>
      <c r="C59" t="s">
        <v>167</v>
      </c>
      <c r="D59">
        <v>5</v>
      </c>
      <c r="E59">
        <v>2.0744359503412477</v>
      </c>
      <c r="F59">
        <f t="shared" si="0"/>
        <v>128.74754050703848</v>
      </c>
      <c r="G59">
        <v>128.74754050703848</v>
      </c>
    </row>
    <row r="60" spans="1:7" x14ac:dyDescent="0.25">
      <c r="A60">
        <v>13</v>
      </c>
      <c r="B60">
        <v>2</v>
      </c>
      <c r="C60" t="s">
        <v>168</v>
      </c>
      <c r="D60">
        <v>41</v>
      </c>
      <c r="E60">
        <v>17.010374792798231</v>
      </c>
      <c r="F60">
        <f t="shared" si="0"/>
        <v>111.73716571424025</v>
      </c>
      <c r="G60">
        <v>111.73716571424025</v>
      </c>
    </row>
    <row r="61" spans="1:7" x14ac:dyDescent="0.25">
      <c r="A61">
        <v>13</v>
      </c>
      <c r="B61">
        <v>9</v>
      </c>
      <c r="C61" t="s">
        <v>169</v>
      </c>
      <c r="D61">
        <v>38</v>
      </c>
      <c r="E61">
        <v>15.765713222593483</v>
      </c>
      <c r="F61">
        <f t="shared" si="0"/>
        <v>95.971452491646772</v>
      </c>
      <c r="G61">
        <v>95.971452491646772</v>
      </c>
    </row>
    <row r="62" spans="1:7" x14ac:dyDescent="0.25">
      <c r="A62">
        <v>0</v>
      </c>
      <c r="B62">
        <v>0</v>
      </c>
      <c r="C62" t="s">
        <v>170</v>
      </c>
      <c r="D62">
        <v>5</v>
      </c>
      <c r="E62">
        <v>2.0744359503412477</v>
      </c>
      <c r="F62">
        <f t="shared" si="0"/>
        <v>93.897016541305518</v>
      </c>
      <c r="G62">
        <v>93.897016541305518</v>
      </c>
    </row>
    <row r="63" spans="1:7" x14ac:dyDescent="0.25">
      <c r="A63">
        <v>14</v>
      </c>
      <c r="B63">
        <v>2</v>
      </c>
      <c r="C63" t="s">
        <v>171</v>
      </c>
      <c r="D63">
        <v>2</v>
      </c>
      <c r="E63">
        <v>0.82977438013649918</v>
      </c>
      <c r="F63">
        <f t="shared" si="0"/>
        <v>93.06724216116902</v>
      </c>
      <c r="G63">
        <v>93.06724216116902</v>
      </c>
    </row>
    <row r="64" spans="1:7" x14ac:dyDescent="0.25">
      <c r="A64">
        <v>14</v>
      </c>
      <c r="B64">
        <v>8</v>
      </c>
      <c r="C64" t="s">
        <v>172</v>
      </c>
      <c r="D64">
        <v>1</v>
      </c>
      <c r="E64">
        <v>0.41488719006824959</v>
      </c>
      <c r="F64">
        <f t="shared" si="0"/>
        <v>92.652354971100763</v>
      </c>
      <c r="G64">
        <v>92.652354971100763</v>
      </c>
    </row>
    <row r="65" spans="1:7" x14ac:dyDescent="0.25">
      <c r="A65">
        <v>0</v>
      </c>
      <c r="B65">
        <v>0</v>
      </c>
      <c r="C65" t="s">
        <v>173</v>
      </c>
      <c r="D65">
        <v>4.7057489790886402</v>
      </c>
      <c r="E65">
        <v>1.9523549711006198</v>
      </c>
      <c r="F65">
        <f t="shared" si="0"/>
        <v>90.700000000000145</v>
      </c>
      <c r="G65">
        <v>90.700000000000145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Abbreviation</vt:lpstr>
      <vt:lpstr>分段馏分组成表</vt:lpstr>
      <vt:lpstr>tabulate</vt:lpstr>
      <vt:lpstr>donut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魏鹏霖</dc:creator>
  <cp:lastModifiedBy>Ruolin He</cp:lastModifiedBy>
  <cp:lastPrinted>2024-01-11T01:51:47Z</cp:lastPrinted>
  <dcterms:created xsi:type="dcterms:W3CDTF">2015-06-05T18:19:34Z</dcterms:created>
  <dcterms:modified xsi:type="dcterms:W3CDTF">2024-05-09T13:06:36Z</dcterms:modified>
</cp:coreProperties>
</file>