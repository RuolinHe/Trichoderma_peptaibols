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D:\课题组\zhiyuan_Lab\4-Peptaibols_NRPS\data\"/>
    </mc:Choice>
  </mc:AlternateContent>
  <xr:revisionPtr revIDLastSave="0" documentId="13_ncr:1_{D7A61CB7-5A8A-4234-BD7B-4C2FBB78B079}" xr6:coauthVersionLast="36" xr6:coauthVersionMax="47" xr10:uidLastSave="{00000000-0000-0000-0000-000000000000}"/>
  <bookViews>
    <workbookView xWindow="28680" yWindow="-120" windowWidth="29040" windowHeight="15840" tabRatio="739" firstSheet="3" activeTab="18" xr2:uid="{00000000-000D-0000-FFFF-FFFF00000000}"/>
  </bookViews>
  <sheets>
    <sheet name="trichohypolins 3 letters (2)" sheetId="12" r:id="rId1"/>
    <sheet name="trichohypolins 3 letters" sheetId="1" r:id="rId2"/>
    <sheet name="trichohypolins" sheetId="2" r:id="rId3"/>
    <sheet name="Sheet2" sheetId="3" r:id="rId4"/>
    <sheet name="tabulate" sheetId="7" r:id="rId5"/>
    <sheet name="tabulate (2)" sheetId="13" r:id="rId6"/>
    <sheet name="Sheet3" sheetId="9" r:id="rId7"/>
    <sheet name="Sheet4" sheetId="10" r:id="rId8"/>
    <sheet name="Sheet1" sheetId="11" r:id="rId9"/>
    <sheet name="MI" sheetId="6" r:id="rId10"/>
    <sheet name="Sheet6" sheetId="15" r:id="rId11"/>
    <sheet name="Sheet9" sheetId="18" r:id="rId12"/>
    <sheet name="Sheet10" sheetId="22" r:id="rId13"/>
    <sheet name="SidNA3" sheetId="24" r:id="rId14"/>
    <sheet name="Sheet7" sheetId="25" r:id="rId15"/>
    <sheet name="Sheet8" sheetId="26" r:id="rId16"/>
    <sheet name="Sheet12" sheetId="28" r:id="rId17"/>
    <sheet name="Sheet5" sheetId="29" r:id="rId18"/>
    <sheet name="Sheet13" sheetId="31" r:id="rId19"/>
    <sheet name="Sheet11" sheetId="30" r:id="rId20"/>
    <sheet name="Sheet5 (2)" sheetId="33" r:id="rId21"/>
  </sheets>
  <definedNames>
    <definedName name="_xlnm._FilterDatabase" localSheetId="12" hidden="1">Sheet10!$A$1:$L$1</definedName>
    <definedName name="_xlnm._FilterDatabase" localSheetId="19" hidden="1">Sheet11!$A$1:$P$107</definedName>
    <definedName name="_xlnm._FilterDatabase" localSheetId="6" hidden="1">Sheet3!$V$1:$V$64</definedName>
    <definedName name="_xlnm._FilterDatabase" localSheetId="17" hidden="1">Sheet5!$B$47:$X$71</definedName>
    <definedName name="_xlnm._FilterDatabase" localSheetId="20" hidden="1">'Sheet5 (2)'!$A$47:$W$71</definedName>
    <definedName name="_xlnm._FilterDatabase" localSheetId="14" hidden="1">Sheet7!$A$1:$V$1</definedName>
    <definedName name="_xlnm._FilterDatabase" localSheetId="11" hidden="1">Sheet9!$A$3:$G$3</definedName>
    <definedName name="_xlchart.v1.0" hidden="1">'trichohypolins 3 letters (2)'!$AA$2</definedName>
    <definedName name="_xlchart.v1.1" hidden="1">'trichohypolins 3 letters (2)'!$AA$5:$AA$46</definedName>
    <definedName name="_xlchart.v1.10" hidden="1">'trichohypolins 3 letters (2)'!$Z$2</definedName>
    <definedName name="_xlchart.v1.11" hidden="1">'trichohypolins 3 letters (2)'!$Z$5:$Z$46</definedName>
    <definedName name="_xlchart.v1.2" hidden="1">'trichohypolins 3 letters (2)'!$AB$2</definedName>
    <definedName name="_xlchart.v1.3" hidden="1">'trichohypolins 3 letters (2)'!$AB$5:$AB$46</definedName>
    <definedName name="_xlchart.v1.4" hidden="1">'trichohypolins 3 letters (2)'!$AC$2</definedName>
    <definedName name="_xlchart.v1.5" hidden="1">'trichohypolins 3 letters (2)'!$AC$5:$AC$46</definedName>
    <definedName name="_xlchart.v1.6" hidden="1">'trichohypolins 3 letters (2)'!$AD$2</definedName>
    <definedName name="_xlchart.v1.7" hidden="1">'trichohypolins 3 letters (2)'!$AD$5:$AD$46</definedName>
    <definedName name="_xlchart.v1.8" hidden="1">'trichohypolins 3 letters (2)'!$Y$2</definedName>
    <definedName name="_xlchart.v1.9" hidden="1">'trichohypolins 3 letters (2)'!$Y$5:$Y$46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1" i="33" l="1"/>
  <c r="V121" i="33"/>
  <c r="U121" i="33"/>
  <c r="T121" i="33"/>
  <c r="S121" i="33"/>
  <c r="R121" i="33"/>
  <c r="W120" i="33"/>
  <c r="V120" i="33"/>
  <c r="U120" i="33"/>
  <c r="T120" i="33"/>
  <c r="S120" i="33"/>
  <c r="R120" i="33"/>
  <c r="W119" i="33"/>
  <c r="V119" i="33"/>
  <c r="U119" i="33"/>
  <c r="T119" i="33"/>
  <c r="S119" i="33"/>
  <c r="R119" i="33"/>
  <c r="W118" i="33"/>
  <c r="V118" i="33"/>
  <c r="U118" i="33"/>
  <c r="T118" i="33"/>
  <c r="S118" i="33"/>
  <c r="R118" i="33"/>
  <c r="W117" i="33"/>
  <c r="V117" i="33"/>
  <c r="U117" i="33"/>
  <c r="T117" i="33"/>
  <c r="S117" i="33"/>
  <c r="R117" i="33"/>
  <c r="W116" i="33"/>
  <c r="V116" i="33"/>
  <c r="U116" i="33"/>
  <c r="T116" i="33"/>
  <c r="S116" i="33"/>
  <c r="R116" i="33"/>
  <c r="W115" i="33"/>
  <c r="V115" i="33"/>
  <c r="U115" i="33"/>
  <c r="T115" i="33"/>
  <c r="S115" i="33"/>
  <c r="R115" i="33"/>
  <c r="W114" i="33"/>
  <c r="V114" i="33"/>
  <c r="U114" i="33"/>
  <c r="T114" i="33"/>
  <c r="S114" i="33"/>
  <c r="R114" i="33"/>
  <c r="W113" i="33"/>
  <c r="V113" i="33"/>
  <c r="U113" i="33"/>
  <c r="T113" i="33"/>
  <c r="S113" i="33"/>
  <c r="R113" i="33"/>
  <c r="W112" i="33"/>
  <c r="V112" i="33"/>
  <c r="U112" i="33"/>
  <c r="T112" i="33"/>
  <c r="S112" i="33"/>
  <c r="R112" i="33"/>
  <c r="W111" i="33"/>
  <c r="V111" i="33"/>
  <c r="U111" i="33"/>
  <c r="T111" i="33"/>
  <c r="S111" i="33"/>
  <c r="R111" i="33"/>
  <c r="W110" i="33"/>
  <c r="V110" i="33"/>
  <c r="U110" i="33"/>
  <c r="T110" i="33"/>
  <c r="S110" i="33"/>
  <c r="R110" i="33"/>
  <c r="W109" i="33"/>
  <c r="V109" i="33"/>
  <c r="U109" i="33"/>
  <c r="T109" i="33"/>
  <c r="S109" i="33"/>
  <c r="R109" i="33"/>
  <c r="W108" i="33"/>
  <c r="V108" i="33"/>
  <c r="U108" i="33"/>
  <c r="T108" i="33"/>
  <c r="S108" i="33"/>
  <c r="R108" i="33"/>
  <c r="W107" i="33"/>
  <c r="V107" i="33"/>
  <c r="U107" i="33"/>
  <c r="T107" i="33"/>
  <c r="S107" i="33"/>
  <c r="R107" i="33"/>
  <c r="W106" i="33"/>
  <c r="V106" i="33"/>
  <c r="U106" i="33"/>
  <c r="T106" i="33"/>
  <c r="S106" i="33"/>
  <c r="R106" i="33"/>
  <c r="W105" i="33"/>
  <c r="V105" i="33"/>
  <c r="U105" i="33"/>
  <c r="T105" i="33"/>
  <c r="S105" i="33"/>
  <c r="R105" i="33"/>
  <c r="W104" i="33"/>
  <c r="V104" i="33"/>
  <c r="U104" i="33"/>
  <c r="T104" i="33"/>
  <c r="S104" i="33"/>
  <c r="R104" i="33"/>
  <c r="W103" i="33"/>
  <c r="V103" i="33"/>
  <c r="U103" i="33"/>
  <c r="T103" i="33"/>
  <c r="S103" i="33"/>
  <c r="R103" i="33"/>
  <c r="W102" i="33"/>
  <c r="V102" i="33"/>
  <c r="U102" i="33"/>
  <c r="T102" i="33"/>
  <c r="S102" i="33"/>
  <c r="R102" i="33"/>
  <c r="W101" i="33"/>
  <c r="V101" i="33"/>
  <c r="U101" i="33"/>
  <c r="T101" i="33"/>
  <c r="S101" i="33"/>
  <c r="R101" i="33"/>
  <c r="W100" i="33"/>
  <c r="V100" i="33"/>
  <c r="U100" i="33"/>
  <c r="T100" i="33"/>
  <c r="S100" i="33"/>
  <c r="R100" i="33"/>
  <c r="W99" i="33"/>
  <c r="V99" i="33"/>
  <c r="U99" i="33"/>
  <c r="T99" i="33"/>
  <c r="S99" i="33"/>
  <c r="R99" i="33"/>
  <c r="W98" i="33"/>
  <c r="V98" i="33"/>
  <c r="U98" i="33"/>
  <c r="T98" i="33"/>
  <c r="S98" i="33"/>
  <c r="R98" i="33"/>
  <c r="Z71" i="33"/>
  <c r="Y71" i="33"/>
  <c r="W71" i="33"/>
  <c r="V71" i="33"/>
  <c r="U71" i="33"/>
  <c r="T71" i="33"/>
  <c r="S71" i="33"/>
  <c r="R71" i="33"/>
  <c r="X71" i="33" s="1"/>
  <c r="W70" i="33"/>
  <c r="V70" i="33"/>
  <c r="U70" i="33"/>
  <c r="T70" i="33"/>
  <c r="S70" i="33"/>
  <c r="R70" i="33"/>
  <c r="Z69" i="33"/>
  <c r="Y69" i="33"/>
  <c r="W69" i="33"/>
  <c r="V69" i="33"/>
  <c r="U69" i="33"/>
  <c r="T69" i="33"/>
  <c r="S69" i="33"/>
  <c r="R69" i="33"/>
  <c r="X69" i="33" s="1"/>
  <c r="W68" i="33"/>
  <c r="V68" i="33"/>
  <c r="U68" i="33"/>
  <c r="T68" i="33"/>
  <c r="S68" i="33"/>
  <c r="R68" i="33"/>
  <c r="Z67" i="33"/>
  <c r="Y67" i="33"/>
  <c r="W67" i="33"/>
  <c r="X67" i="33" s="1"/>
  <c r="V67" i="33"/>
  <c r="U67" i="33"/>
  <c r="T67" i="33"/>
  <c r="S67" i="33"/>
  <c r="R67" i="33"/>
  <c r="W66" i="33"/>
  <c r="V66" i="33"/>
  <c r="U66" i="33"/>
  <c r="T66" i="33"/>
  <c r="S66" i="33"/>
  <c r="R66" i="33"/>
  <c r="Z65" i="33"/>
  <c r="Y65" i="33"/>
  <c r="W65" i="33"/>
  <c r="V65" i="33"/>
  <c r="U65" i="33"/>
  <c r="X65" i="33" s="1"/>
  <c r="T65" i="33"/>
  <c r="S65" i="33"/>
  <c r="R65" i="33"/>
  <c r="W64" i="33"/>
  <c r="V64" i="33"/>
  <c r="U64" i="33"/>
  <c r="T64" i="33"/>
  <c r="S64" i="33"/>
  <c r="R64" i="33"/>
  <c r="Z63" i="33"/>
  <c r="Y63" i="33"/>
  <c r="W63" i="33"/>
  <c r="V63" i="33"/>
  <c r="U63" i="33"/>
  <c r="X63" i="33" s="1"/>
  <c r="T63" i="33"/>
  <c r="S63" i="33"/>
  <c r="R63" i="33"/>
  <c r="W62" i="33"/>
  <c r="V62" i="33"/>
  <c r="U62" i="33"/>
  <c r="T62" i="33"/>
  <c r="S62" i="33"/>
  <c r="R62" i="33"/>
  <c r="Z61" i="33"/>
  <c r="Y61" i="33"/>
  <c r="W61" i="33"/>
  <c r="V61" i="33"/>
  <c r="U61" i="33"/>
  <c r="T61" i="33"/>
  <c r="S61" i="33"/>
  <c r="R61" i="33"/>
  <c r="X61" i="33" s="1"/>
  <c r="W60" i="33"/>
  <c r="V60" i="33"/>
  <c r="U60" i="33"/>
  <c r="T60" i="33"/>
  <c r="S60" i="33"/>
  <c r="R60" i="33"/>
  <c r="Z59" i="33"/>
  <c r="Y59" i="33"/>
  <c r="W59" i="33"/>
  <c r="V59" i="33"/>
  <c r="U59" i="33"/>
  <c r="T59" i="33"/>
  <c r="S59" i="33"/>
  <c r="R59" i="33"/>
  <c r="X59" i="33" s="1"/>
  <c r="W58" i="33"/>
  <c r="V58" i="33"/>
  <c r="U58" i="33"/>
  <c r="T58" i="33"/>
  <c r="S58" i="33"/>
  <c r="R58" i="33"/>
  <c r="Z57" i="33"/>
  <c r="Y57" i="33"/>
  <c r="W57" i="33"/>
  <c r="V57" i="33"/>
  <c r="U57" i="33"/>
  <c r="T57" i="33"/>
  <c r="S57" i="33"/>
  <c r="R57" i="33"/>
  <c r="X57" i="33" s="1"/>
  <c r="W56" i="33"/>
  <c r="V56" i="33"/>
  <c r="U56" i="33"/>
  <c r="T56" i="33"/>
  <c r="S56" i="33"/>
  <c r="R56" i="33"/>
  <c r="Z55" i="33"/>
  <c r="Y55" i="33"/>
  <c r="W55" i="33"/>
  <c r="V55" i="33"/>
  <c r="U55" i="33"/>
  <c r="T55" i="33"/>
  <c r="S55" i="33"/>
  <c r="R55" i="33"/>
  <c r="X55" i="33" s="1"/>
  <c r="W54" i="33"/>
  <c r="V54" i="33"/>
  <c r="U54" i="33"/>
  <c r="T54" i="33"/>
  <c r="S54" i="33"/>
  <c r="R54" i="33"/>
  <c r="Z53" i="33"/>
  <c r="Y53" i="33"/>
  <c r="X53" i="33"/>
  <c r="W53" i="33"/>
  <c r="V53" i="33"/>
  <c r="U53" i="33"/>
  <c r="T53" i="33"/>
  <c r="S53" i="33"/>
  <c r="R53" i="33"/>
  <c r="W52" i="33"/>
  <c r="V52" i="33"/>
  <c r="U52" i="33"/>
  <c r="T52" i="33"/>
  <c r="S52" i="33"/>
  <c r="R52" i="33"/>
  <c r="Z51" i="33"/>
  <c r="Y51" i="33"/>
  <c r="W51" i="33"/>
  <c r="X51" i="33" s="1"/>
  <c r="V51" i="33"/>
  <c r="U51" i="33"/>
  <c r="T51" i="33"/>
  <c r="S51" i="33"/>
  <c r="R51" i="33"/>
  <c r="W50" i="33"/>
  <c r="V50" i="33"/>
  <c r="U50" i="33"/>
  <c r="T50" i="33"/>
  <c r="S50" i="33"/>
  <c r="R50" i="33"/>
  <c r="Z49" i="33"/>
  <c r="Y49" i="33"/>
  <c r="W49" i="33"/>
  <c r="V49" i="33"/>
  <c r="X49" i="33" s="1"/>
  <c r="U49" i="33"/>
  <c r="T49" i="33"/>
  <c r="S49" i="33"/>
  <c r="R49" i="33"/>
  <c r="W48" i="33"/>
  <c r="V48" i="33"/>
  <c r="U48" i="33"/>
  <c r="T48" i="33"/>
  <c r="S48" i="33"/>
  <c r="R48" i="33"/>
  <c r="O26" i="33"/>
  <c r="N26" i="33"/>
  <c r="V25" i="33"/>
  <c r="U25" i="33"/>
  <c r="R25" i="33"/>
  <c r="Q25" i="33"/>
  <c r="P25" i="33"/>
  <c r="V24" i="33"/>
  <c r="U24" i="33"/>
  <c r="V23" i="33"/>
  <c r="U23" i="33"/>
  <c r="P23" i="33"/>
  <c r="R23" i="33" s="1"/>
  <c r="V22" i="33"/>
  <c r="U22" i="33"/>
  <c r="V21" i="33"/>
  <c r="U21" i="33"/>
  <c r="P21" i="33"/>
  <c r="Q21" i="33" s="1"/>
  <c r="V20" i="33"/>
  <c r="U20" i="33"/>
  <c r="V19" i="33"/>
  <c r="U19" i="33"/>
  <c r="P19" i="33"/>
  <c r="R19" i="33" s="1"/>
  <c r="V18" i="33"/>
  <c r="U18" i="33"/>
  <c r="V17" i="33"/>
  <c r="U17" i="33"/>
  <c r="P17" i="33"/>
  <c r="R17" i="33" s="1"/>
  <c r="V16" i="33"/>
  <c r="U16" i="33"/>
  <c r="V15" i="33"/>
  <c r="U15" i="33"/>
  <c r="R15" i="33"/>
  <c r="P15" i="33"/>
  <c r="Q15" i="33" s="1"/>
  <c r="V14" i="33"/>
  <c r="U14" i="33"/>
  <c r="V13" i="33"/>
  <c r="U13" i="33"/>
  <c r="R13" i="33"/>
  <c r="Q13" i="33"/>
  <c r="P13" i="33"/>
  <c r="V12" i="33"/>
  <c r="U12" i="33"/>
  <c r="V11" i="33"/>
  <c r="U11" i="33"/>
  <c r="R11" i="33"/>
  <c r="Q11" i="33"/>
  <c r="P11" i="33"/>
  <c r="V10" i="33"/>
  <c r="U10" i="33"/>
  <c r="V9" i="33"/>
  <c r="U9" i="33"/>
  <c r="R9" i="33"/>
  <c r="Q9" i="33"/>
  <c r="P9" i="33"/>
  <c r="V8" i="33"/>
  <c r="U8" i="33"/>
  <c r="V7" i="33"/>
  <c r="U7" i="33"/>
  <c r="P7" i="33"/>
  <c r="R7" i="33" s="1"/>
  <c r="V6" i="33"/>
  <c r="U6" i="33"/>
  <c r="V5" i="33"/>
  <c r="U5" i="33"/>
  <c r="P5" i="33"/>
  <c r="R5" i="33" s="1"/>
  <c r="V4" i="33"/>
  <c r="U4" i="33"/>
  <c r="V3" i="33"/>
  <c r="U3" i="33"/>
  <c r="P3" i="33"/>
  <c r="Q3" i="33" s="1"/>
  <c r="V2" i="33"/>
  <c r="U2" i="33"/>
  <c r="Q5" i="33" l="1"/>
  <c r="Q7" i="33"/>
  <c r="Q19" i="33"/>
  <c r="R21" i="33"/>
  <c r="R3" i="33"/>
  <c r="Q17" i="33"/>
  <c r="Q23" i="33"/>
  <c r="S99" i="29"/>
  <c r="T99" i="29"/>
  <c r="U99" i="29"/>
  <c r="V99" i="29"/>
  <c r="W99" i="29"/>
  <c r="X99" i="29"/>
  <c r="S100" i="29"/>
  <c r="T100" i="29"/>
  <c r="U100" i="29"/>
  <c r="V100" i="29"/>
  <c r="W100" i="29"/>
  <c r="X100" i="29"/>
  <c r="S101" i="29"/>
  <c r="T101" i="29"/>
  <c r="U101" i="29"/>
  <c r="V101" i="29"/>
  <c r="W101" i="29"/>
  <c r="X101" i="29"/>
  <c r="S102" i="29"/>
  <c r="T102" i="29"/>
  <c r="U102" i="29"/>
  <c r="V102" i="29"/>
  <c r="W102" i="29"/>
  <c r="X102" i="29"/>
  <c r="S103" i="29"/>
  <c r="T103" i="29"/>
  <c r="U103" i="29"/>
  <c r="V103" i="29"/>
  <c r="W103" i="29"/>
  <c r="X103" i="29"/>
  <c r="S104" i="29"/>
  <c r="T104" i="29"/>
  <c r="U104" i="29"/>
  <c r="V104" i="29"/>
  <c r="W104" i="29"/>
  <c r="X104" i="29"/>
  <c r="S105" i="29"/>
  <c r="T105" i="29"/>
  <c r="U105" i="29"/>
  <c r="V105" i="29"/>
  <c r="W105" i="29"/>
  <c r="X105" i="29"/>
  <c r="S106" i="29"/>
  <c r="T106" i="29"/>
  <c r="U106" i="29"/>
  <c r="V106" i="29"/>
  <c r="W106" i="29"/>
  <c r="X106" i="29"/>
  <c r="S107" i="29"/>
  <c r="T107" i="29"/>
  <c r="U107" i="29"/>
  <c r="V107" i="29"/>
  <c r="W107" i="29"/>
  <c r="X107" i="29"/>
  <c r="S108" i="29"/>
  <c r="T108" i="29"/>
  <c r="U108" i="29"/>
  <c r="V108" i="29"/>
  <c r="W108" i="29"/>
  <c r="X108" i="29"/>
  <c r="S109" i="29"/>
  <c r="T109" i="29"/>
  <c r="U109" i="29"/>
  <c r="V109" i="29"/>
  <c r="W109" i="29"/>
  <c r="X109" i="29"/>
  <c r="S110" i="29"/>
  <c r="T110" i="29"/>
  <c r="U110" i="29"/>
  <c r="V110" i="29"/>
  <c r="W110" i="29"/>
  <c r="X110" i="29"/>
  <c r="S111" i="29"/>
  <c r="T111" i="29"/>
  <c r="U111" i="29"/>
  <c r="V111" i="29"/>
  <c r="W111" i="29"/>
  <c r="X111" i="29"/>
  <c r="S112" i="29"/>
  <c r="T112" i="29"/>
  <c r="U112" i="29"/>
  <c r="V112" i="29"/>
  <c r="W112" i="29"/>
  <c r="X112" i="29"/>
  <c r="S113" i="29"/>
  <c r="T113" i="29"/>
  <c r="U113" i="29"/>
  <c r="V113" i="29"/>
  <c r="W113" i="29"/>
  <c r="X113" i="29"/>
  <c r="S114" i="29"/>
  <c r="T114" i="29"/>
  <c r="U114" i="29"/>
  <c r="V114" i="29"/>
  <c r="W114" i="29"/>
  <c r="X114" i="29"/>
  <c r="S115" i="29"/>
  <c r="T115" i="29"/>
  <c r="U115" i="29"/>
  <c r="V115" i="29"/>
  <c r="W115" i="29"/>
  <c r="X115" i="29"/>
  <c r="S116" i="29"/>
  <c r="T116" i="29"/>
  <c r="U116" i="29"/>
  <c r="V116" i="29"/>
  <c r="W116" i="29"/>
  <c r="X116" i="29"/>
  <c r="S117" i="29"/>
  <c r="T117" i="29"/>
  <c r="U117" i="29"/>
  <c r="V117" i="29"/>
  <c r="W117" i="29"/>
  <c r="X117" i="29"/>
  <c r="S118" i="29"/>
  <c r="T118" i="29"/>
  <c r="U118" i="29"/>
  <c r="V118" i="29"/>
  <c r="W118" i="29"/>
  <c r="X118" i="29"/>
  <c r="S119" i="29"/>
  <c r="T119" i="29"/>
  <c r="U119" i="29"/>
  <c r="V119" i="29"/>
  <c r="W119" i="29"/>
  <c r="X119" i="29"/>
  <c r="S120" i="29"/>
  <c r="T120" i="29"/>
  <c r="U120" i="29"/>
  <c r="V120" i="29"/>
  <c r="W120" i="29"/>
  <c r="X120" i="29"/>
  <c r="S121" i="29"/>
  <c r="T121" i="29"/>
  <c r="U121" i="29"/>
  <c r="V121" i="29"/>
  <c r="W121" i="29"/>
  <c r="X121" i="29"/>
  <c r="X98" i="29"/>
  <c r="W98" i="29"/>
  <c r="V98" i="29"/>
  <c r="U98" i="29"/>
  <c r="T98" i="29"/>
  <c r="S98" i="29"/>
  <c r="AA71" i="29"/>
  <c r="AA69" i="29"/>
  <c r="AA67" i="29"/>
  <c r="AA65" i="29"/>
  <c r="AA63" i="29"/>
  <c r="AA61" i="29"/>
  <c r="AA59" i="29"/>
  <c r="AA57" i="29"/>
  <c r="AA55" i="29"/>
  <c r="AA53" i="29"/>
  <c r="AA51" i="29"/>
  <c r="AA49" i="29"/>
  <c r="Z71" i="29"/>
  <c r="Z69" i="29"/>
  <c r="Z67" i="29"/>
  <c r="Z65" i="29"/>
  <c r="Z63" i="29"/>
  <c r="Z61" i="29"/>
  <c r="Z59" i="29"/>
  <c r="Z57" i="29"/>
  <c r="Z55" i="29"/>
  <c r="Z53" i="29"/>
  <c r="Z51" i="29"/>
  <c r="Z49" i="29"/>
  <c r="Y71" i="29"/>
  <c r="Y69" i="29"/>
  <c r="Y67" i="29"/>
  <c r="Y65" i="29"/>
  <c r="Y63" i="29"/>
  <c r="Y61" i="29"/>
  <c r="Y59" i="29"/>
  <c r="Y57" i="29"/>
  <c r="Y55" i="29"/>
  <c r="Y53" i="29"/>
  <c r="Y51" i="29"/>
  <c r="Y49" i="29"/>
  <c r="S49" i="29"/>
  <c r="T49" i="29"/>
  <c r="U49" i="29"/>
  <c r="V49" i="29"/>
  <c r="W49" i="29"/>
  <c r="X49" i="29"/>
  <c r="S50" i="29"/>
  <c r="T50" i="29"/>
  <c r="U50" i="29"/>
  <c r="V50" i="29"/>
  <c r="W50" i="29"/>
  <c r="X50" i="29"/>
  <c r="S51" i="29"/>
  <c r="T51" i="29"/>
  <c r="U51" i="29"/>
  <c r="V51" i="29"/>
  <c r="W51" i="29"/>
  <c r="X51" i="29"/>
  <c r="S52" i="29"/>
  <c r="T52" i="29"/>
  <c r="U52" i="29"/>
  <c r="V52" i="29"/>
  <c r="W52" i="29"/>
  <c r="X52" i="29"/>
  <c r="S53" i="29"/>
  <c r="T53" i="29"/>
  <c r="U53" i="29"/>
  <c r="V53" i="29"/>
  <c r="W53" i="29"/>
  <c r="X53" i="29"/>
  <c r="S54" i="29"/>
  <c r="T54" i="29"/>
  <c r="U54" i="29"/>
  <c r="V54" i="29"/>
  <c r="W54" i="29"/>
  <c r="X54" i="29"/>
  <c r="S55" i="29"/>
  <c r="T55" i="29"/>
  <c r="U55" i="29"/>
  <c r="V55" i="29"/>
  <c r="W55" i="29"/>
  <c r="X55" i="29"/>
  <c r="S56" i="29"/>
  <c r="T56" i="29"/>
  <c r="U56" i="29"/>
  <c r="V56" i="29"/>
  <c r="W56" i="29"/>
  <c r="X56" i="29"/>
  <c r="S57" i="29"/>
  <c r="T57" i="29"/>
  <c r="U57" i="29"/>
  <c r="V57" i="29"/>
  <c r="W57" i="29"/>
  <c r="X57" i="29"/>
  <c r="S58" i="29"/>
  <c r="T58" i="29"/>
  <c r="U58" i="29"/>
  <c r="V58" i="29"/>
  <c r="W58" i="29"/>
  <c r="X58" i="29"/>
  <c r="S59" i="29"/>
  <c r="T59" i="29"/>
  <c r="U59" i="29"/>
  <c r="V59" i="29"/>
  <c r="W59" i="29"/>
  <c r="X59" i="29"/>
  <c r="S60" i="29"/>
  <c r="T60" i="29"/>
  <c r="U60" i="29"/>
  <c r="V60" i="29"/>
  <c r="W60" i="29"/>
  <c r="X60" i="29"/>
  <c r="S61" i="29"/>
  <c r="T61" i="29"/>
  <c r="U61" i="29"/>
  <c r="V61" i="29"/>
  <c r="W61" i="29"/>
  <c r="X61" i="29"/>
  <c r="S62" i="29"/>
  <c r="T62" i="29"/>
  <c r="U62" i="29"/>
  <c r="V62" i="29"/>
  <c r="W62" i="29"/>
  <c r="X62" i="29"/>
  <c r="S63" i="29"/>
  <c r="T63" i="29"/>
  <c r="U63" i="29"/>
  <c r="V63" i="29"/>
  <c r="W63" i="29"/>
  <c r="X63" i="29"/>
  <c r="S64" i="29"/>
  <c r="T64" i="29"/>
  <c r="U64" i="29"/>
  <c r="V64" i="29"/>
  <c r="W64" i="29"/>
  <c r="X64" i="29"/>
  <c r="S65" i="29"/>
  <c r="T65" i="29"/>
  <c r="U65" i="29"/>
  <c r="V65" i="29"/>
  <c r="W65" i="29"/>
  <c r="X65" i="29"/>
  <c r="S66" i="29"/>
  <c r="T66" i="29"/>
  <c r="U66" i="29"/>
  <c r="V66" i="29"/>
  <c r="W66" i="29"/>
  <c r="X66" i="29"/>
  <c r="S67" i="29"/>
  <c r="T67" i="29"/>
  <c r="U67" i="29"/>
  <c r="V67" i="29"/>
  <c r="W67" i="29"/>
  <c r="X67" i="29"/>
  <c r="S68" i="29"/>
  <c r="T68" i="29"/>
  <c r="U68" i="29"/>
  <c r="V68" i="29"/>
  <c r="W68" i="29"/>
  <c r="X68" i="29"/>
  <c r="S69" i="29"/>
  <c r="T69" i="29"/>
  <c r="U69" i="29"/>
  <c r="V69" i="29"/>
  <c r="W69" i="29"/>
  <c r="X69" i="29"/>
  <c r="S70" i="29"/>
  <c r="T70" i="29"/>
  <c r="U70" i="29"/>
  <c r="V70" i="29"/>
  <c r="W70" i="29"/>
  <c r="X70" i="29"/>
  <c r="S71" i="29"/>
  <c r="T71" i="29"/>
  <c r="U71" i="29"/>
  <c r="V71" i="29"/>
  <c r="W71" i="29"/>
  <c r="X71" i="29"/>
  <c r="T48" i="29"/>
  <c r="U48" i="29"/>
  <c r="V48" i="29"/>
  <c r="W48" i="29"/>
  <c r="X48" i="29"/>
  <c r="S48" i="29"/>
  <c r="K18" i="31"/>
  <c r="T3" i="31"/>
  <c r="U3" i="31"/>
  <c r="V3" i="31"/>
  <c r="W3" i="31"/>
  <c r="X3" i="31"/>
  <c r="T4" i="31"/>
  <c r="U4" i="31" s="1"/>
  <c r="W4" i="31"/>
  <c r="X4" i="31"/>
  <c r="T5" i="31"/>
  <c r="U5" i="31"/>
  <c r="V5" i="31"/>
  <c r="W5" i="31"/>
  <c r="X5" i="31"/>
  <c r="T6" i="31"/>
  <c r="U6" i="31"/>
  <c r="V6" i="31"/>
  <c r="W6" i="31"/>
  <c r="X6" i="31"/>
  <c r="T7" i="31"/>
  <c r="V7" i="31" s="1"/>
  <c r="U7" i="31"/>
  <c r="W7" i="31"/>
  <c r="X7" i="31"/>
  <c r="T8" i="31"/>
  <c r="U8" i="31"/>
  <c r="V8" i="31"/>
  <c r="W8" i="31"/>
  <c r="X8" i="31"/>
  <c r="T9" i="31"/>
  <c r="U9" i="31"/>
  <c r="V9" i="31"/>
  <c r="W9" i="31"/>
  <c r="X9" i="31"/>
  <c r="T10" i="31"/>
  <c r="U10" i="31"/>
  <c r="V10" i="31"/>
  <c r="W10" i="31"/>
  <c r="X10" i="31"/>
  <c r="T11" i="31"/>
  <c r="U11" i="31"/>
  <c r="V11" i="31"/>
  <c r="W11" i="31"/>
  <c r="X11" i="31"/>
  <c r="T12" i="31"/>
  <c r="U12" i="31" s="1"/>
  <c r="W12" i="31"/>
  <c r="X12" i="31"/>
  <c r="T13" i="31"/>
  <c r="U13" i="31"/>
  <c r="V13" i="31"/>
  <c r="W13" i="31"/>
  <c r="X13" i="31"/>
  <c r="T14" i="31"/>
  <c r="U14" i="31"/>
  <c r="V14" i="31"/>
  <c r="W14" i="31"/>
  <c r="X14" i="31"/>
  <c r="T15" i="31"/>
  <c r="V15" i="31" s="1"/>
  <c r="U15" i="31"/>
  <c r="W15" i="31"/>
  <c r="X15" i="31"/>
  <c r="T16" i="31"/>
  <c r="U16" i="31"/>
  <c r="V16" i="31"/>
  <c r="W16" i="31"/>
  <c r="X16" i="31"/>
  <c r="T17" i="31"/>
  <c r="U17" i="31"/>
  <c r="V17" i="31"/>
  <c r="W17" i="31"/>
  <c r="X17" i="31"/>
  <c r="T18" i="31"/>
  <c r="U18" i="31"/>
  <c r="V18" i="31"/>
  <c r="W18" i="31"/>
  <c r="X18" i="31"/>
  <c r="T19" i="31"/>
  <c r="U19" i="31"/>
  <c r="V19" i="31"/>
  <c r="W19" i="31"/>
  <c r="X19" i="31"/>
  <c r="T20" i="31"/>
  <c r="U20" i="31" s="1"/>
  <c r="W20" i="31"/>
  <c r="X20" i="31"/>
  <c r="T21" i="31"/>
  <c r="U21" i="31"/>
  <c r="V21" i="31"/>
  <c r="W21" i="31"/>
  <c r="X21" i="31"/>
  <c r="T22" i="31"/>
  <c r="U22" i="31"/>
  <c r="V22" i="31"/>
  <c r="W22" i="31"/>
  <c r="X22" i="31"/>
  <c r="T23" i="31"/>
  <c r="V23" i="31" s="1"/>
  <c r="U23" i="31"/>
  <c r="W23" i="31"/>
  <c r="X23" i="31"/>
  <c r="T24" i="31"/>
  <c r="U24" i="31"/>
  <c r="V24" i="31"/>
  <c r="W24" i="31"/>
  <c r="X24" i="31"/>
  <c r="T25" i="31"/>
  <c r="U25" i="31"/>
  <c r="V25" i="31"/>
  <c r="W25" i="31"/>
  <c r="X25" i="31"/>
  <c r="X2" i="31"/>
  <c r="W2" i="31"/>
  <c r="V2" i="31"/>
  <c r="U2" i="31"/>
  <c r="T2" i="31"/>
  <c r="J3" i="31"/>
  <c r="L3" i="31" s="1"/>
  <c r="K3" i="31"/>
  <c r="J4" i="31"/>
  <c r="K4" i="31"/>
  <c r="L4" i="31"/>
  <c r="J5" i="31"/>
  <c r="L5" i="31" s="1"/>
  <c r="K5" i="31"/>
  <c r="J6" i="31"/>
  <c r="K6" i="31"/>
  <c r="L6" i="31"/>
  <c r="J7" i="31"/>
  <c r="L7" i="31" s="1"/>
  <c r="K7" i="31"/>
  <c r="J8" i="31"/>
  <c r="K8" i="31"/>
  <c r="L8" i="31"/>
  <c r="J9" i="31"/>
  <c r="K9" i="31"/>
  <c r="L9" i="31"/>
  <c r="J10" i="31"/>
  <c r="K10" i="31" s="1"/>
  <c r="J11" i="31"/>
  <c r="K11" i="31"/>
  <c r="L11" i="31"/>
  <c r="J12" i="31"/>
  <c r="K12" i="31"/>
  <c r="L12" i="31"/>
  <c r="J13" i="31"/>
  <c r="K13" i="31"/>
  <c r="L13" i="31"/>
  <c r="J14" i="31"/>
  <c r="K14" i="31"/>
  <c r="L14" i="31"/>
  <c r="J15" i="31"/>
  <c r="L15" i="31" s="1"/>
  <c r="K15" i="31"/>
  <c r="J16" i="31"/>
  <c r="K16" i="31"/>
  <c r="L16" i="31"/>
  <c r="J17" i="31"/>
  <c r="K17" i="31"/>
  <c r="L17" i="31"/>
  <c r="J18" i="31"/>
  <c r="J19" i="31"/>
  <c r="K19" i="31"/>
  <c r="L19" i="31"/>
  <c r="J20" i="31"/>
  <c r="K20" i="31"/>
  <c r="L20" i="31"/>
  <c r="J21" i="31"/>
  <c r="K21" i="31"/>
  <c r="L21" i="31"/>
  <c r="J22" i="31"/>
  <c r="K22" i="31"/>
  <c r="L22" i="31"/>
  <c r="J23" i="31"/>
  <c r="L23" i="31" s="1"/>
  <c r="K23" i="31"/>
  <c r="J24" i="31"/>
  <c r="K24" i="31"/>
  <c r="L24" i="31"/>
  <c r="J25" i="31"/>
  <c r="K25" i="31"/>
  <c r="L25" i="31"/>
  <c r="L2" i="31"/>
  <c r="K2" i="31"/>
  <c r="J2" i="31"/>
  <c r="M3" i="31"/>
  <c r="N3" i="31"/>
  <c r="M4" i="31"/>
  <c r="N4" i="31"/>
  <c r="M5" i="31"/>
  <c r="N5" i="31"/>
  <c r="M6" i="31"/>
  <c r="N6" i="31"/>
  <c r="M7" i="31"/>
  <c r="N7" i="31"/>
  <c r="M8" i="31"/>
  <c r="N8" i="31"/>
  <c r="M9" i="31"/>
  <c r="N9" i="31"/>
  <c r="M10" i="31"/>
  <c r="N10" i="31"/>
  <c r="M11" i="31"/>
  <c r="N11" i="31"/>
  <c r="M12" i="31"/>
  <c r="N12" i="31"/>
  <c r="M13" i="31"/>
  <c r="N13" i="31"/>
  <c r="M14" i="31"/>
  <c r="N14" i="31"/>
  <c r="M15" i="31"/>
  <c r="N15" i="31"/>
  <c r="M16" i="31"/>
  <c r="N16" i="31"/>
  <c r="M17" i="31"/>
  <c r="N17" i="31"/>
  <c r="M18" i="31"/>
  <c r="N18" i="31"/>
  <c r="M19" i="31"/>
  <c r="N19" i="31"/>
  <c r="M20" i="31"/>
  <c r="N20" i="31"/>
  <c r="M21" i="31"/>
  <c r="N21" i="31"/>
  <c r="M22" i="31"/>
  <c r="N22" i="31"/>
  <c r="M23" i="31"/>
  <c r="N23" i="31"/>
  <c r="M24" i="31"/>
  <c r="N24" i="31"/>
  <c r="M25" i="31"/>
  <c r="N25" i="31"/>
  <c r="N2" i="31"/>
  <c r="M2" i="31"/>
  <c r="S21" i="29"/>
  <c r="R21" i="29"/>
  <c r="S19" i="29"/>
  <c r="R19" i="29"/>
  <c r="S17" i="29"/>
  <c r="S9" i="29"/>
  <c r="S7" i="29"/>
  <c r="S5" i="29"/>
  <c r="R5" i="29"/>
  <c r="S3" i="29"/>
  <c r="R3" i="29"/>
  <c r="Q25" i="29"/>
  <c r="R25" i="29" s="1"/>
  <c r="Q23" i="29"/>
  <c r="S23" i="29" s="1"/>
  <c r="Q21" i="29"/>
  <c r="Q19" i="29"/>
  <c r="Q17" i="29"/>
  <c r="R17" i="29" s="1"/>
  <c r="Q15" i="29"/>
  <c r="S15" i="29" s="1"/>
  <c r="Q13" i="29"/>
  <c r="S13" i="29" s="1"/>
  <c r="Q11" i="29"/>
  <c r="R11" i="29" s="1"/>
  <c r="Q9" i="29"/>
  <c r="R9" i="29" s="1"/>
  <c r="Q7" i="29"/>
  <c r="R7" i="29" s="1"/>
  <c r="Q5" i="29"/>
  <c r="Q3" i="29"/>
  <c r="V3" i="29"/>
  <c r="W2" i="29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" i="29"/>
  <c r="P26" i="29"/>
  <c r="O26" i="29"/>
  <c r="S11" i="29" l="1"/>
  <c r="S25" i="29"/>
  <c r="R15" i="29"/>
  <c r="R23" i="29"/>
  <c r="R13" i="29"/>
  <c r="V20" i="31"/>
  <c r="V12" i="31"/>
  <c r="V4" i="31"/>
  <c r="L18" i="31"/>
  <c r="L10" i="31"/>
  <c r="AA3" i="28"/>
  <c r="AB3" i="28"/>
  <c r="AA4" i="28"/>
  <c r="AB4" i="28"/>
  <c r="AA5" i="28"/>
  <c r="AB5" i="28"/>
  <c r="AA6" i="28"/>
  <c r="AB6" i="28"/>
  <c r="AA7" i="28"/>
  <c r="AB7" i="28"/>
  <c r="AA8" i="28"/>
  <c r="AB8" i="28"/>
  <c r="AA9" i="28"/>
  <c r="AB9" i="28"/>
  <c r="AA10" i="28"/>
  <c r="AB10" i="28"/>
  <c r="AA11" i="28"/>
  <c r="AB11" i="28"/>
  <c r="AA12" i="28"/>
  <c r="AB12" i="28"/>
  <c r="AA13" i="28"/>
  <c r="AB13" i="28"/>
  <c r="AA14" i="28"/>
  <c r="AB14" i="28"/>
  <c r="AA15" i="28"/>
  <c r="AB15" i="28"/>
  <c r="AA16" i="28"/>
  <c r="AB16" i="28"/>
  <c r="AA17" i="28"/>
  <c r="AB17" i="28"/>
  <c r="AA18" i="28"/>
  <c r="AB18" i="28"/>
  <c r="AA19" i="28"/>
  <c r="AB19" i="28"/>
  <c r="AA20" i="28"/>
  <c r="AB20" i="28"/>
  <c r="AA21" i="28"/>
  <c r="AB21" i="28"/>
  <c r="AA22" i="28"/>
  <c r="AB22" i="28"/>
  <c r="AA23" i="28"/>
  <c r="AB23" i="28"/>
  <c r="AA24" i="28"/>
  <c r="AB24" i="28"/>
  <c r="AA25" i="28"/>
  <c r="AB25" i="28"/>
  <c r="AA26" i="28"/>
  <c r="AB26" i="28"/>
  <c r="AA27" i="28"/>
  <c r="AB27" i="28"/>
  <c r="AA28" i="28"/>
  <c r="AB28" i="28"/>
  <c r="AA29" i="28"/>
  <c r="AB29" i="28"/>
  <c r="AA30" i="28"/>
  <c r="AB30" i="28"/>
  <c r="AA31" i="28"/>
  <c r="AB31" i="28"/>
  <c r="AA32" i="28"/>
  <c r="AB32" i="28"/>
  <c r="AA33" i="28"/>
  <c r="AB33" i="28"/>
  <c r="AA34" i="28"/>
  <c r="AB34" i="28"/>
  <c r="AA35" i="28"/>
  <c r="AB35" i="28"/>
  <c r="AA36" i="28"/>
  <c r="AB36" i="28"/>
  <c r="AA37" i="28"/>
  <c r="AB37" i="28"/>
  <c r="AA38" i="28"/>
  <c r="AB38" i="28"/>
  <c r="AA39" i="28"/>
  <c r="AB39" i="28"/>
  <c r="AA40" i="28"/>
  <c r="AB40" i="28"/>
  <c r="AB2" i="28"/>
  <c r="AA2" i="28"/>
  <c r="B3" i="24" l="1"/>
  <c r="C3" i="24"/>
  <c r="D3" i="24"/>
  <c r="E3" i="24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L68" i="22" l="1"/>
  <c r="L67" i="22"/>
  <c r="L66" i="22"/>
  <c r="L65" i="22"/>
  <c r="L64" i="22"/>
  <c r="L63" i="22"/>
  <c r="L62" i="22"/>
  <c r="L61" i="22"/>
  <c r="L60" i="22"/>
  <c r="L59" i="22"/>
  <c r="L58" i="22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AE47" i="12" l="1"/>
  <c r="AF47" i="12"/>
  <c r="AF49" i="12" s="1"/>
  <c r="AG47" i="12"/>
  <c r="AH47" i="12"/>
  <c r="AI47" i="12"/>
  <c r="AJ47" i="12"/>
  <c r="AE48" i="12"/>
  <c r="AF48" i="12"/>
  <c r="AG48" i="12"/>
  <c r="AG49" i="12" s="1"/>
  <c r="AH48" i="12"/>
  <c r="AH51" i="12" s="1"/>
  <c r="AI48" i="12"/>
  <c r="AI49" i="12" s="1"/>
  <c r="AJ48" i="12"/>
  <c r="AJ49" i="12" s="1"/>
  <c r="AE49" i="12"/>
  <c r="AE50" i="12"/>
  <c r="AF50" i="12"/>
  <c r="AG50" i="12"/>
  <c r="AE51" i="12"/>
  <c r="AF51" i="12"/>
  <c r="AG51" i="12"/>
  <c r="AI51" i="12"/>
  <c r="AH6" i="12"/>
  <c r="AI6" i="12"/>
  <c r="AJ6" i="12"/>
  <c r="AH7" i="12"/>
  <c r="AI7" i="12"/>
  <c r="AJ7" i="12"/>
  <c r="AH8" i="12"/>
  <c r="AI8" i="12"/>
  <c r="AJ8" i="12"/>
  <c r="AH9" i="12"/>
  <c r="AI9" i="12"/>
  <c r="AJ9" i="12"/>
  <c r="AH10" i="12"/>
  <c r="AI10" i="12"/>
  <c r="AJ10" i="12"/>
  <c r="AH11" i="12"/>
  <c r="AI11" i="12"/>
  <c r="AJ11" i="12"/>
  <c r="AH12" i="12"/>
  <c r="AI12" i="12"/>
  <c r="AJ12" i="12"/>
  <c r="AH13" i="12"/>
  <c r="AI13" i="12"/>
  <c r="AJ13" i="12"/>
  <c r="AH14" i="12"/>
  <c r="AI14" i="12"/>
  <c r="AJ14" i="12"/>
  <c r="AH15" i="12"/>
  <c r="AI15" i="12"/>
  <c r="AJ15" i="12"/>
  <c r="AH16" i="12"/>
  <c r="AI16" i="12"/>
  <c r="AJ16" i="12"/>
  <c r="AH17" i="12"/>
  <c r="AI17" i="12"/>
  <c r="AJ17" i="12"/>
  <c r="AH18" i="12"/>
  <c r="AI18" i="12"/>
  <c r="AJ18" i="12"/>
  <c r="AH19" i="12"/>
  <c r="AI19" i="12"/>
  <c r="AJ19" i="12"/>
  <c r="AH20" i="12"/>
  <c r="AI20" i="12"/>
  <c r="AJ20" i="12"/>
  <c r="AH21" i="12"/>
  <c r="AI21" i="12"/>
  <c r="AJ21" i="12"/>
  <c r="AH22" i="12"/>
  <c r="AI22" i="12"/>
  <c r="AJ22" i="12"/>
  <c r="AH23" i="12"/>
  <c r="AI23" i="12"/>
  <c r="AJ23" i="12"/>
  <c r="AH24" i="12"/>
  <c r="AI24" i="12"/>
  <c r="AJ24" i="12"/>
  <c r="AH25" i="12"/>
  <c r="AI25" i="12"/>
  <c r="AJ25" i="12"/>
  <c r="AH26" i="12"/>
  <c r="AI26" i="12"/>
  <c r="AJ26" i="12"/>
  <c r="AH27" i="12"/>
  <c r="AI27" i="12"/>
  <c r="AJ27" i="12"/>
  <c r="AH28" i="12"/>
  <c r="AI28" i="12"/>
  <c r="AJ28" i="12"/>
  <c r="AH29" i="12"/>
  <c r="AI29" i="12"/>
  <c r="AJ29" i="12"/>
  <c r="AH30" i="12"/>
  <c r="AI30" i="12"/>
  <c r="AJ30" i="12"/>
  <c r="AH31" i="12"/>
  <c r="AI31" i="12"/>
  <c r="AJ31" i="12"/>
  <c r="AH32" i="12"/>
  <c r="AI32" i="12"/>
  <c r="AJ32" i="12"/>
  <c r="AH33" i="12"/>
  <c r="AI33" i="12"/>
  <c r="AJ33" i="12"/>
  <c r="AH34" i="12"/>
  <c r="AI34" i="12"/>
  <c r="AJ34" i="12"/>
  <c r="AH35" i="12"/>
  <c r="AI35" i="12"/>
  <c r="AJ35" i="12"/>
  <c r="AH36" i="12"/>
  <c r="AI36" i="12"/>
  <c r="AJ36" i="12"/>
  <c r="AH37" i="12"/>
  <c r="AI37" i="12"/>
  <c r="AJ37" i="12"/>
  <c r="AH38" i="12"/>
  <c r="AI38" i="12"/>
  <c r="AJ38" i="12"/>
  <c r="AH39" i="12"/>
  <c r="AI39" i="12"/>
  <c r="AJ39" i="12"/>
  <c r="AH40" i="12"/>
  <c r="AI40" i="12"/>
  <c r="AJ40" i="12"/>
  <c r="AH41" i="12"/>
  <c r="AI41" i="12"/>
  <c r="AJ41" i="12"/>
  <c r="AH42" i="12"/>
  <c r="AI42" i="12"/>
  <c r="AJ42" i="12"/>
  <c r="AH43" i="12"/>
  <c r="AI43" i="12"/>
  <c r="AJ43" i="12"/>
  <c r="AH44" i="12"/>
  <c r="AI44" i="12"/>
  <c r="AJ44" i="12"/>
  <c r="AH45" i="12"/>
  <c r="AI45" i="12"/>
  <c r="AJ45" i="12"/>
  <c r="AH46" i="12"/>
  <c r="AI46" i="12"/>
  <c r="AJ46" i="12"/>
  <c r="AJ5" i="12"/>
  <c r="AI5" i="12"/>
  <c r="AH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5" i="12"/>
  <c r="Y5" i="12"/>
  <c r="Z5" i="12"/>
  <c r="AA5" i="12"/>
  <c r="AB5" i="12"/>
  <c r="Y6" i="12"/>
  <c r="Y47" i="12" s="1"/>
  <c r="Z6" i="12"/>
  <c r="AA6" i="12"/>
  <c r="AB6" i="12"/>
  <c r="Y7" i="12"/>
  <c r="Z7" i="12"/>
  <c r="AA7" i="12"/>
  <c r="AB7" i="12"/>
  <c r="Y8" i="12"/>
  <c r="Z8" i="12"/>
  <c r="AA8" i="12"/>
  <c r="AB8" i="12"/>
  <c r="Y9" i="12"/>
  <c r="Z9" i="12"/>
  <c r="AA9" i="12"/>
  <c r="AB9" i="12"/>
  <c r="Y10" i="12"/>
  <c r="Z10" i="12"/>
  <c r="AA10" i="12"/>
  <c r="AB10" i="12"/>
  <c r="Y11" i="12"/>
  <c r="Z11" i="12"/>
  <c r="AA11" i="12"/>
  <c r="AB11" i="12"/>
  <c r="Y12" i="12"/>
  <c r="Z12" i="12"/>
  <c r="AA12" i="12"/>
  <c r="AB12" i="12"/>
  <c r="Y13" i="12"/>
  <c r="Z13" i="12"/>
  <c r="AA13" i="12"/>
  <c r="AB13" i="12"/>
  <c r="Y14" i="12"/>
  <c r="Z14" i="12"/>
  <c r="AA14" i="12"/>
  <c r="AB14" i="12"/>
  <c r="Y15" i="12"/>
  <c r="Z15" i="12"/>
  <c r="AA15" i="12"/>
  <c r="AB15" i="12"/>
  <c r="Y16" i="12"/>
  <c r="Z16" i="12"/>
  <c r="AA16" i="12"/>
  <c r="AB16" i="12"/>
  <c r="Y17" i="12"/>
  <c r="Z17" i="12"/>
  <c r="AA17" i="12"/>
  <c r="AB17" i="12"/>
  <c r="Y18" i="12"/>
  <c r="Z18" i="12"/>
  <c r="AA18" i="12"/>
  <c r="AB18" i="12"/>
  <c r="Y19" i="12"/>
  <c r="Z19" i="12"/>
  <c r="AA19" i="12"/>
  <c r="AB19" i="12"/>
  <c r="Y20" i="12"/>
  <c r="Z20" i="12"/>
  <c r="AA20" i="12"/>
  <c r="AB20" i="12"/>
  <c r="Y21" i="12"/>
  <c r="Z21" i="12"/>
  <c r="AA21" i="12"/>
  <c r="AB21" i="12"/>
  <c r="Y22" i="12"/>
  <c r="Z22" i="12"/>
  <c r="AA22" i="12"/>
  <c r="AB22" i="12"/>
  <c r="Y23" i="12"/>
  <c r="Z23" i="12"/>
  <c r="AA23" i="12"/>
  <c r="AB23" i="12"/>
  <c r="Y24" i="12"/>
  <c r="Z24" i="12"/>
  <c r="AA24" i="12"/>
  <c r="AB24" i="12"/>
  <c r="Y25" i="12"/>
  <c r="Z25" i="12"/>
  <c r="AA25" i="12"/>
  <c r="AB25" i="12"/>
  <c r="Y26" i="12"/>
  <c r="Z26" i="12"/>
  <c r="AA26" i="12"/>
  <c r="AB26" i="12"/>
  <c r="Y27" i="12"/>
  <c r="Z27" i="12"/>
  <c r="AA27" i="12"/>
  <c r="AB27" i="12"/>
  <c r="Y28" i="12"/>
  <c r="Z28" i="12"/>
  <c r="AA28" i="12"/>
  <c r="AB28" i="12"/>
  <c r="Y29" i="12"/>
  <c r="Z29" i="12"/>
  <c r="AA29" i="12"/>
  <c r="AB29" i="12"/>
  <c r="Y30" i="12"/>
  <c r="Z30" i="12"/>
  <c r="AA30" i="12"/>
  <c r="AB30" i="12"/>
  <c r="Y31" i="12"/>
  <c r="Z31" i="12"/>
  <c r="AA31" i="12"/>
  <c r="AB31" i="12"/>
  <c r="Y32" i="12"/>
  <c r="Z32" i="12"/>
  <c r="AA32" i="12"/>
  <c r="AB32" i="12"/>
  <c r="Y33" i="12"/>
  <c r="Z33" i="12"/>
  <c r="AA33" i="12"/>
  <c r="AB33" i="12"/>
  <c r="Y34" i="12"/>
  <c r="Z34" i="12"/>
  <c r="AA34" i="12"/>
  <c r="AB34" i="12"/>
  <c r="Y35" i="12"/>
  <c r="Z35" i="12"/>
  <c r="AA35" i="12"/>
  <c r="AB35" i="12"/>
  <c r="Y36" i="12"/>
  <c r="Z36" i="12"/>
  <c r="AA36" i="12"/>
  <c r="AB36" i="12"/>
  <c r="Y37" i="12"/>
  <c r="Z37" i="12"/>
  <c r="AA37" i="12"/>
  <c r="AB37" i="12"/>
  <c r="Y38" i="12"/>
  <c r="Z38" i="12"/>
  <c r="AA38" i="12"/>
  <c r="AB38" i="12"/>
  <c r="Y39" i="12"/>
  <c r="Z39" i="12"/>
  <c r="AA39" i="12"/>
  <c r="AB39" i="12"/>
  <c r="Y40" i="12"/>
  <c r="Z40" i="12"/>
  <c r="AA40" i="12"/>
  <c r="AB40" i="12"/>
  <c r="Y41" i="12"/>
  <c r="Z41" i="12"/>
  <c r="AA41" i="12"/>
  <c r="AB41" i="12"/>
  <c r="Y42" i="12"/>
  <c r="Z42" i="12"/>
  <c r="AA42" i="12"/>
  <c r="AB42" i="12"/>
  <c r="Y43" i="12"/>
  <c r="Z43" i="12"/>
  <c r="AA43" i="12"/>
  <c r="AB43" i="12"/>
  <c r="Y44" i="12"/>
  <c r="Z44" i="12"/>
  <c r="AA44" i="12"/>
  <c r="AB44" i="12"/>
  <c r="Y45" i="12"/>
  <c r="Z45" i="12"/>
  <c r="AA45" i="12"/>
  <c r="AB45" i="12"/>
  <c r="Y46" i="12"/>
  <c r="Z46" i="12"/>
  <c r="AA46" i="12"/>
  <c r="AB46" i="12"/>
  <c r="Z47" i="12"/>
  <c r="AA47" i="12"/>
  <c r="AB48" i="12"/>
  <c r="AA48" i="12"/>
  <c r="AA51" i="12" s="1"/>
  <c r="X51" i="12"/>
  <c r="U47" i="12"/>
  <c r="V47" i="12"/>
  <c r="V50" i="12" s="1"/>
  <c r="W47" i="12"/>
  <c r="X47" i="12"/>
  <c r="U48" i="12"/>
  <c r="U51" i="12" s="1"/>
  <c r="V48" i="12"/>
  <c r="V51" i="12" s="1"/>
  <c r="W48" i="12"/>
  <c r="W49" i="12" s="1"/>
  <c r="X48" i="12"/>
  <c r="X49" i="12" s="1"/>
  <c r="AC49" i="12"/>
  <c r="Z48" i="12"/>
  <c r="Z51" i="12" s="1"/>
  <c r="AC48" i="12"/>
  <c r="AC51" i="12" s="1"/>
  <c r="AD48" i="12"/>
  <c r="AD49" i="12" s="1"/>
  <c r="AB47" i="12"/>
  <c r="AC47" i="12"/>
  <c r="AD47" i="12"/>
  <c r="AC6" i="12"/>
  <c r="AD6" i="12"/>
  <c r="AC7" i="12"/>
  <c r="AD7" i="12"/>
  <c r="AC8" i="12"/>
  <c r="AD8" i="12"/>
  <c r="AC9" i="12"/>
  <c r="AD9" i="12"/>
  <c r="AC10" i="12"/>
  <c r="AD10" i="12"/>
  <c r="AC11" i="12"/>
  <c r="AD11" i="12"/>
  <c r="AC12" i="12"/>
  <c r="AD12" i="12"/>
  <c r="AC13" i="12"/>
  <c r="AD13" i="12"/>
  <c r="AC14" i="12"/>
  <c r="AD14" i="12"/>
  <c r="AC15" i="12"/>
  <c r="AD15" i="12"/>
  <c r="AC16" i="12"/>
  <c r="AD16" i="12"/>
  <c r="AC17" i="12"/>
  <c r="AD17" i="12"/>
  <c r="AC18" i="12"/>
  <c r="AD18" i="12"/>
  <c r="AC19" i="12"/>
  <c r="AD19" i="12"/>
  <c r="AC20" i="12"/>
  <c r="AD20" i="12"/>
  <c r="AC21" i="12"/>
  <c r="AD21" i="12"/>
  <c r="AC22" i="12"/>
  <c r="AD22" i="12"/>
  <c r="AC23" i="12"/>
  <c r="AD23" i="12"/>
  <c r="AC24" i="12"/>
  <c r="AD24" i="12"/>
  <c r="AC25" i="12"/>
  <c r="AD25" i="12"/>
  <c r="AC26" i="12"/>
  <c r="AD26" i="12"/>
  <c r="AC27" i="12"/>
  <c r="AD27" i="12"/>
  <c r="AC28" i="12"/>
  <c r="AD28" i="12"/>
  <c r="AC29" i="12"/>
  <c r="AD29" i="12"/>
  <c r="AC30" i="12"/>
  <c r="AD30" i="12"/>
  <c r="AC31" i="12"/>
  <c r="AD31" i="12"/>
  <c r="AC32" i="12"/>
  <c r="AD32" i="12"/>
  <c r="AC33" i="12"/>
  <c r="AD33" i="12"/>
  <c r="AC34" i="12"/>
  <c r="AD34" i="12"/>
  <c r="AC35" i="12"/>
  <c r="AD35" i="12"/>
  <c r="AC36" i="12"/>
  <c r="AD36" i="12"/>
  <c r="AC37" i="12"/>
  <c r="AD37" i="12"/>
  <c r="AC38" i="12"/>
  <c r="AD38" i="12"/>
  <c r="AC39" i="12"/>
  <c r="AD39" i="12"/>
  <c r="AC40" i="12"/>
  <c r="AD40" i="12"/>
  <c r="AC41" i="12"/>
  <c r="AD41" i="12"/>
  <c r="AC42" i="12"/>
  <c r="AD42" i="12"/>
  <c r="AC43" i="12"/>
  <c r="AD43" i="12"/>
  <c r="AC44" i="12"/>
  <c r="AD44" i="12"/>
  <c r="AC45" i="12"/>
  <c r="AD45" i="12"/>
  <c r="AC46" i="12"/>
  <c r="AD46" i="12"/>
  <c r="AD5" i="12"/>
  <c r="AC5" i="12"/>
  <c r="AJ50" i="12" l="1"/>
  <c r="AH49" i="12"/>
  <c r="AI50" i="12"/>
  <c r="AJ51" i="12"/>
  <c r="AH50" i="12"/>
  <c r="AD50" i="12"/>
  <c r="W51" i="12"/>
  <c r="AC50" i="12"/>
  <c r="U49" i="12"/>
  <c r="U50" i="12"/>
  <c r="AD51" i="12"/>
  <c r="V49" i="12"/>
  <c r="Z49" i="12"/>
  <c r="AA49" i="12"/>
  <c r="AB50" i="12"/>
  <c r="AB51" i="12"/>
  <c r="AB49" i="12"/>
  <c r="Y48" i="12"/>
  <c r="Y51" i="12" s="1"/>
  <c r="AA50" i="12"/>
  <c r="Z50" i="12"/>
  <c r="X50" i="12"/>
  <c r="W50" i="12"/>
  <c r="N12" i="7"/>
  <c r="O12" i="7"/>
  <c r="P12" i="7"/>
  <c r="Q12" i="7"/>
  <c r="R12" i="7"/>
  <c r="S12" i="7"/>
  <c r="T12" i="7"/>
  <c r="U12" i="7"/>
  <c r="V12" i="7"/>
  <c r="W12" i="7"/>
  <c r="X12" i="7"/>
  <c r="N3" i="7"/>
  <c r="O3" i="7"/>
  <c r="P3" i="7"/>
  <c r="Q3" i="7"/>
  <c r="R3" i="7"/>
  <c r="S3" i="7"/>
  <c r="T3" i="7"/>
  <c r="U3" i="7"/>
  <c r="V3" i="7"/>
  <c r="W3" i="7"/>
  <c r="X3" i="7"/>
  <c r="N4" i="7"/>
  <c r="O4" i="7"/>
  <c r="P4" i="7"/>
  <c r="Q4" i="7"/>
  <c r="R4" i="7"/>
  <c r="S4" i="7"/>
  <c r="T4" i="7"/>
  <c r="U4" i="7"/>
  <c r="V4" i="7"/>
  <c r="W4" i="7"/>
  <c r="X4" i="7"/>
  <c r="N5" i="7"/>
  <c r="O5" i="7"/>
  <c r="P5" i="7"/>
  <c r="Q5" i="7"/>
  <c r="R5" i="7"/>
  <c r="S5" i="7"/>
  <c r="T5" i="7"/>
  <c r="U5" i="7"/>
  <c r="V5" i="7"/>
  <c r="W5" i="7"/>
  <c r="X5" i="7"/>
  <c r="N6" i="7"/>
  <c r="O6" i="7"/>
  <c r="P6" i="7"/>
  <c r="Q6" i="7"/>
  <c r="R6" i="7"/>
  <c r="S6" i="7"/>
  <c r="T6" i="7"/>
  <c r="U6" i="7"/>
  <c r="V6" i="7"/>
  <c r="W6" i="7"/>
  <c r="X6" i="7"/>
  <c r="N7" i="7"/>
  <c r="O7" i="7"/>
  <c r="P7" i="7"/>
  <c r="Q7" i="7"/>
  <c r="R7" i="7"/>
  <c r="S7" i="7"/>
  <c r="T7" i="7"/>
  <c r="U7" i="7"/>
  <c r="V7" i="7"/>
  <c r="W7" i="7"/>
  <c r="X7" i="7"/>
  <c r="N8" i="7"/>
  <c r="O8" i="7"/>
  <c r="P8" i="7"/>
  <c r="Q8" i="7"/>
  <c r="R8" i="7"/>
  <c r="S8" i="7"/>
  <c r="T8" i="7"/>
  <c r="U8" i="7"/>
  <c r="V8" i="7"/>
  <c r="W8" i="7"/>
  <c r="X8" i="7"/>
  <c r="N9" i="7"/>
  <c r="O9" i="7"/>
  <c r="P9" i="7"/>
  <c r="Q9" i="7"/>
  <c r="R9" i="7"/>
  <c r="S9" i="7"/>
  <c r="T9" i="7"/>
  <c r="U9" i="7"/>
  <c r="V9" i="7"/>
  <c r="W9" i="7"/>
  <c r="X9" i="7"/>
  <c r="N10" i="7"/>
  <c r="O10" i="7"/>
  <c r="P10" i="7"/>
  <c r="Q10" i="7"/>
  <c r="R10" i="7"/>
  <c r="S10" i="7"/>
  <c r="T10" i="7"/>
  <c r="U10" i="7"/>
  <c r="V10" i="7"/>
  <c r="W10" i="7"/>
  <c r="X10" i="7"/>
  <c r="N11" i="7"/>
  <c r="O11" i="7"/>
  <c r="P11" i="7"/>
  <c r="Q11" i="7"/>
  <c r="R11" i="7"/>
  <c r="S11" i="7"/>
  <c r="T11" i="7"/>
  <c r="U11" i="7"/>
  <c r="V11" i="7"/>
  <c r="W11" i="7"/>
  <c r="X11" i="7"/>
  <c r="O2" i="7"/>
  <c r="P2" i="7"/>
  <c r="Q2" i="7"/>
  <c r="R2" i="7"/>
  <c r="S2" i="7"/>
  <c r="T2" i="7"/>
  <c r="U2" i="7"/>
  <c r="V2" i="7"/>
  <c r="W2" i="7"/>
  <c r="X2" i="7"/>
  <c r="N2" i="7"/>
  <c r="M1" i="7"/>
  <c r="Y50" i="12" l="1"/>
  <c r="Y49" i="12"/>
  <c r="I33" i="13"/>
  <c r="D33" i="13"/>
  <c r="C33" i="13"/>
  <c r="K31" i="13"/>
  <c r="J31" i="13"/>
  <c r="L30" i="13"/>
  <c r="J30" i="13"/>
  <c r="L29" i="13"/>
  <c r="K29" i="13"/>
  <c r="N28" i="13"/>
  <c r="D27" i="13"/>
  <c r="F26" i="13"/>
  <c r="E26" i="13"/>
  <c r="C26" i="13"/>
  <c r="G25" i="13"/>
  <c r="E25" i="13"/>
  <c r="C25" i="13"/>
  <c r="G24" i="13"/>
  <c r="F24" i="13"/>
  <c r="C24" i="13"/>
  <c r="N23" i="13"/>
  <c r="H23" i="13"/>
  <c r="C23" i="13"/>
  <c r="N22" i="13"/>
  <c r="G22" i="13"/>
  <c r="F22" i="13"/>
  <c r="E22" i="13"/>
  <c r="D22" i="13"/>
  <c r="C22" i="13"/>
  <c r="O21" i="13"/>
  <c r="B21" i="13"/>
  <c r="C11" i="9" l="1"/>
  <c r="P11" i="9"/>
  <c r="N11" i="9"/>
  <c r="C22" i="9" l="1"/>
  <c r="H20" i="9"/>
  <c r="N20" i="9"/>
  <c r="D2" i="10"/>
  <c r="E2" i="10"/>
  <c r="F2" i="10"/>
  <c r="G2" i="10"/>
  <c r="H2" i="10"/>
  <c r="I2" i="10"/>
  <c r="D3" i="10"/>
  <c r="E3" i="10"/>
  <c r="F3" i="10"/>
  <c r="G3" i="10"/>
  <c r="H3" i="10"/>
  <c r="I3" i="10"/>
  <c r="D4" i="10"/>
  <c r="E4" i="10"/>
  <c r="F4" i="10"/>
  <c r="G4" i="10"/>
  <c r="H4" i="10"/>
  <c r="I4" i="10"/>
  <c r="D5" i="10"/>
  <c r="E5" i="10"/>
  <c r="F5" i="10"/>
  <c r="G5" i="10"/>
  <c r="H5" i="10"/>
  <c r="I5" i="10"/>
  <c r="D6" i="10"/>
  <c r="E6" i="10"/>
  <c r="F6" i="10"/>
  <c r="G6" i="10"/>
  <c r="H6" i="10"/>
  <c r="I6" i="10"/>
  <c r="D7" i="10"/>
  <c r="E7" i="10"/>
  <c r="F7" i="10"/>
  <c r="G7" i="10"/>
  <c r="H7" i="10"/>
  <c r="I7" i="10"/>
  <c r="D8" i="10"/>
  <c r="E8" i="10"/>
  <c r="F8" i="10"/>
  <c r="G8" i="10"/>
  <c r="H8" i="10"/>
  <c r="I8" i="10"/>
  <c r="C9" i="10"/>
  <c r="I9" i="10" s="1"/>
  <c r="D9" i="10"/>
  <c r="G9" i="10"/>
  <c r="H9" i="10"/>
  <c r="D10" i="10"/>
  <c r="E10" i="10"/>
  <c r="F10" i="10"/>
  <c r="G10" i="10"/>
  <c r="H10" i="10"/>
  <c r="I10" i="10"/>
  <c r="C11" i="10"/>
  <c r="D11" i="10" s="1"/>
  <c r="C12" i="10"/>
  <c r="E12" i="10" s="1"/>
  <c r="D12" i="10"/>
  <c r="D13" i="10"/>
  <c r="E13" i="10"/>
  <c r="F13" i="10"/>
  <c r="G13" i="10"/>
  <c r="H13" i="10"/>
  <c r="I13" i="10"/>
  <c r="D14" i="10"/>
  <c r="E14" i="10"/>
  <c r="F14" i="10"/>
  <c r="G14" i="10"/>
  <c r="H14" i="10"/>
  <c r="I14" i="10"/>
  <c r="D15" i="10"/>
  <c r="E15" i="10"/>
  <c r="F15" i="10"/>
  <c r="G15" i="10"/>
  <c r="H15" i="10"/>
  <c r="I15" i="10"/>
  <c r="D16" i="10"/>
  <c r="E16" i="10"/>
  <c r="F16" i="10"/>
  <c r="G16" i="10"/>
  <c r="H16" i="10"/>
  <c r="I16" i="10"/>
  <c r="D17" i="10"/>
  <c r="E17" i="10"/>
  <c r="F17" i="10"/>
  <c r="G17" i="10"/>
  <c r="H17" i="10"/>
  <c r="I17" i="10"/>
  <c r="D18" i="10"/>
  <c r="E18" i="10"/>
  <c r="F18" i="10"/>
  <c r="G18" i="10"/>
  <c r="H18" i="10"/>
  <c r="I18" i="10"/>
  <c r="D19" i="10"/>
  <c r="E19" i="10"/>
  <c r="F19" i="10"/>
  <c r="G19" i="10"/>
  <c r="H19" i="10"/>
  <c r="I19" i="10"/>
  <c r="D20" i="10"/>
  <c r="E20" i="10"/>
  <c r="F20" i="10"/>
  <c r="G20" i="10"/>
  <c r="H20" i="10"/>
  <c r="I20" i="10"/>
  <c r="D21" i="10"/>
  <c r="E21" i="10"/>
  <c r="F21" i="10"/>
  <c r="G21" i="10"/>
  <c r="H21" i="10"/>
  <c r="I21" i="10"/>
  <c r="D22" i="10"/>
  <c r="E22" i="10"/>
  <c r="F22" i="10"/>
  <c r="G22" i="10"/>
  <c r="H22" i="10"/>
  <c r="I22" i="10"/>
  <c r="D23" i="10"/>
  <c r="E23" i="10"/>
  <c r="F23" i="10"/>
  <c r="G23" i="10"/>
  <c r="H23" i="10"/>
  <c r="I23" i="10"/>
  <c r="D24" i="10"/>
  <c r="E24" i="10"/>
  <c r="F24" i="10"/>
  <c r="G24" i="10"/>
  <c r="H24" i="10"/>
  <c r="I24" i="10"/>
  <c r="D25" i="10"/>
  <c r="E25" i="10"/>
  <c r="F25" i="10"/>
  <c r="G25" i="10"/>
  <c r="H25" i="10"/>
  <c r="I25" i="10"/>
  <c r="C26" i="10"/>
  <c r="H26" i="10" s="1"/>
  <c r="F26" i="10"/>
  <c r="G26" i="10"/>
  <c r="D27" i="10"/>
  <c r="E27" i="10"/>
  <c r="F27" i="10"/>
  <c r="G27" i="10"/>
  <c r="H27" i="10"/>
  <c r="I27" i="10"/>
  <c r="D28" i="10"/>
  <c r="E28" i="10"/>
  <c r="F28" i="10"/>
  <c r="G28" i="10"/>
  <c r="H28" i="10"/>
  <c r="I28" i="10"/>
  <c r="C29" i="10"/>
  <c r="E29" i="10" s="1"/>
  <c r="D29" i="10"/>
  <c r="D30" i="10"/>
  <c r="E30" i="10"/>
  <c r="F30" i="10"/>
  <c r="G30" i="10"/>
  <c r="H30" i="10"/>
  <c r="I30" i="10"/>
  <c r="D31" i="10"/>
  <c r="E31" i="10"/>
  <c r="F31" i="10"/>
  <c r="G31" i="10"/>
  <c r="H31" i="10"/>
  <c r="I31" i="10"/>
  <c r="C32" i="10"/>
  <c r="F32" i="10" s="1"/>
  <c r="D32" i="10"/>
  <c r="E32" i="10"/>
  <c r="G32" i="10"/>
  <c r="H32" i="10"/>
  <c r="I32" i="10"/>
  <c r="D33" i="10"/>
  <c r="E33" i="10"/>
  <c r="F33" i="10"/>
  <c r="G33" i="10"/>
  <c r="H33" i="10"/>
  <c r="I33" i="10"/>
  <c r="D34" i="10"/>
  <c r="E34" i="10"/>
  <c r="F34" i="10"/>
  <c r="G34" i="10"/>
  <c r="H34" i="10"/>
  <c r="I34" i="10"/>
  <c r="D35" i="10"/>
  <c r="E35" i="10"/>
  <c r="F35" i="10"/>
  <c r="G35" i="10"/>
  <c r="H35" i="10"/>
  <c r="I35" i="10"/>
  <c r="D36" i="10"/>
  <c r="E36" i="10"/>
  <c r="F36" i="10"/>
  <c r="G36" i="10"/>
  <c r="H36" i="10"/>
  <c r="I36" i="10"/>
  <c r="D37" i="10"/>
  <c r="E37" i="10"/>
  <c r="F37" i="10"/>
  <c r="G37" i="10"/>
  <c r="H37" i="10"/>
  <c r="I37" i="10"/>
  <c r="D38" i="10"/>
  <c r="E38" i="10"/>
  <c r="F38" i="10"/>
  <c r="G38" i="10"/>
  <c r="H38" i="10"/>
  <c r="I38" i="10"/>
  <c r="D39" i="10"/>
  <c r="E39" i="10"/>
  <c r="F39" i="10"/>
  <c r="G39" i="10"/>
  <c r="H39" i="10"/>
  <c r="I39" i="10"/>
  <c r="D40" i="10"/>
  <c r="E40" i="10"/>
  <c r="F40" i="10"/>
  <c r="G40" i="10"/>
  <c r="H40" i="10"/>
  <c r="I40" i="10"/>
  <c r="D41" i="10"/>
  <c r="E41" i="10"/>
  <c r="F41" i="10"/>
  <c r="G41" i="10"/>
  <c r="H41" i="10"/>
  <c r="I41" i="10"/>
  <c r="D42" i="10"/>
  <c r="E42" i="10"/>
  <c r="F42" i="10"/>
  <c r="G42" i="10"/>
  <c r="H42" i="10"/>
  <c r="I42" i="10"/>
  <c r="D43" i="10"/>
  <c r="E43" i="10"/>
  <c r="F43" i="10"/>
  <c r="G43" i="10"/>
  <c r="H43" i="10"/>
  <c r="I43" i="10"/>
  <c r="D44" i="10"/>
  <c r="E44" i="10"/>
  <c r="F44" i="10"/>
  <c r="G44" i="10"/>
  <c r="H44" i="10"/>
  <c r="I44" i="10"/>
  <c r="D45" i="10"/>
  <c r="E45" i="10"/>
  <c r="F45" i="10"/>
  <c r="G45" i="10"/>
  <c r="H45" i="10"/>
  <c r="I45" i="10"/>
  <c r="D46" i="10"/>
  <c r="E46" i="10"/>
  <c r="F46" i="10"/>
  <c r="G46" i="10"/>
  <c r="H46" i="10"/>
  <c r="I46" i="10"/>
  <c r="D47" i="10"/>
  <c r="E47" i="10"/>
  <c r="F47" i="10"/>
  <c r="G47" i="10"/>
  <c r="H47" i="10"/>
  <c r="I47" i="10"/>
  <c r="D48" i="10"/>
  <c r="E48" i="10"/>
  <c r="F48" i="10"/>
  <c r="G48" i="10"/>
  <c r="H48" i="10"/>
  <c r="I48" i="10"/>
  <c r="D49" i="10"/>
  <c r="E49" i="10"/>
  <c r="F49" i="10"/>
  <c r="G49" i="10"/>
  <c r="H49" i="10"/>
  <c r="I49" i="10"/>
  <c r="D50" i="10"/>
  <c r="E50" i="10"/>
  <c r="F50" i="10"/>
  <c r="G50" i="10"/>
  <c r="H50" i="10"/>
  <c r="I50" i="10"/>
  <c r="D51" i="10"/>
  <c r="E51" i="10"/>
  <c r="F51" i="10"/>
  <c r="G51" i="10"/>
  <c r="H51" i="10"/>
  <c r="I51" i="10"/>
  <c r="D52" i="10"/>
  <c r="E52" i="10"/>
  <c r="F52" i="10"/>
  <c r="G52" i="10"/>
  <c r="H52" i="10"/>
  <c r="I52" i="10"/>
  <c r="D53" i="10"/>
  <c r="E53" i="10"/>
  <c r="F53" i="10"/>
  <c r="G53" i="10"/>
  <c r="H53" i="10"/>
  <c r="I53" i="10"/>
  <c r="D54" i="10"/>
  <c r="E54" i="10"/>
  <c r="F54" i="10"/>
  <c r="G54" i="10"/>
  <c r="H54" i="10"/>
  <c r="I54" i="10"/>
  <c r="D55" i="10"/>
  <c r="E55" i="10"/>
  <c r="F55" i="10"/>
  <c r="G55" i="10"/>
  <c r="H55" i="10"/>
  <c r="I55" i="10"/>
  <c r="D2" i="9"/>
  <c r="E2" i="9"/>
  <c r="F2" i="9"/>
  <c r="G2" i="9"/>
  <c r="H2" i="9"/>
  <c r="I2" i="9"/>
  <c r="D3" i="9"/>
  <c r="E3" i="9"/>
  <c r="F3" i="9"/>
  <c r="G3" i="9"/>
  <c r="H3" i="9"/>
  <c r="I3" i="9"/>
  <c r="D4" i="9"/>
  <c r="E4" i="9"/>
  <c r="F4" i="9"/>
  <c r="G4" i="9"/>
  <c r="H4" i="9"/>
  <c r="I4" i="9"/>
  <c r="D5" i="9"/>
  <c r="E5" i="9"/>
  <c r="F5" i="9"/>
  <c r="G5" i="9"/>
  <c r="H5" i="9"/>
  <c r="I5" i="9"/>
  <c r="D6" i="9"/>
  <c r="E6" i="9"/>
  <c r="F6" i="9"/>
  <c r="G6" i="9"/>
  <c r="H6" i="9"/>
  <c r="I6" i="9"/>
  <c r="D7" i="9"/>
  <c r="E7" i="9"/>
  <c r="F7" i="9"/>
  <c r="G7" i="9"/>
  <c r="H7" i="9"/>
  <c r="I7" i="9"/>
  <c r="D8" i="9"/>
  <c r="E8" i="9"/>
  <c r="F8" i="9"/>
  <c r="G8" i="9"/>
  <c r="H8" i="9"/>
  <c r="I8" i="9"/>
  <c r="C9" i="9"/>
  <c r="D10" i="9"/>
  <c r="E10" i="9"/>
  <c r="F10" i="9"/>
  <c r="G10" i="9"/>
  <c r="H10" i="9"/>
  <c r="I10" i="9"/>
  <c r="D12" i="9"/>
  <c r="E12" i="9"/>
  <c r="F12" i="9"/>
  <c r="G12" i="9"/>
  <c r="H12" i="9"/>
  <c r="I12" i="9"/>
  <c r="D13" i="9"/>
  <c r="E13" i="9"/>
  <c r="F13" i="9"/>
  <c r="G13" i="9"/>
  <c r="H13" i="9"/>
  <c r="I13" i="9"/>
  <c r="D14" i="9"/>
  <c r="E14" i="9"/>
  <c r="F14" i="9"/>
  <c r="G14" i="9"/>
  <c r="H14" i="9"/>
  <c r="I14" i="9"/>
  <c r="D15" i="9"/>
  <c r="E15" i="9"/>
  <c r="F15" i="9"/>
  <c r="G15" i="9"/>
  <c r="H15" i="9"/>
  <c r="I15" i="9"/>
  <c r="D16" i="9"/>
  <c r="E16" i="9"/>
  <c r="F16" i="9"/>
  <c r="G16" i="9"/>
  <c r="H16" i="9"/>
  <c r="I16" i="9"/>
  <c r="D17" i="9"/>
  <c r="E17" i="9"/>
  <c r="F17" i="9"/>
  <c r="G17" i="9"/>
  <c r="H17" i="9"/>
  <c r="I17" i="9"/>
  <c r="D18" i="9"/>
  <c r="E18" i="9"/>
  <c r="F18" i="9"/>
  <c r="G18" i="9"/>
  <c r="H18" i="9"/>
  <c r="I18" i="9"/>
  <c r="D19" i="9"/>
  <c r="E19" i="9"/>
  <c r="F19" i="9"/>
  <c r="G19" i="9"/>
  <c r="H19" i="9"/>
  <c r="I19" i="9"/>
  <c r="C21" i="9"/>
  <c r="D23" i="9"/>
  <c r="E23" i="9"/>
  <c r="F23" i="9"/>
  <c r="G23" i="9"/>
  <c r="H23" i="9"/>
  <c r="I23" i="9"/>
  <c r="D24" i="9"/>
  <c r="E24" i="9"/>
  <c r="F24" i="9"/>
  <c r="G24" i="9"/>
  <c r="H24" i="9"/>
  <c r="I24" i="9"/>
  <c r="D25" i="9"/>
  <c r="E25" i="9"/>
  <c r="F25" i="9"/>
  <c r="G25" i="9"/>
  <c r="H25" i="9"/>
  <c r="I25" i="9"/>
  <c r="D26" i="9"/>
  <c r="E26" i="9"/>
  <c r="F26" i="9"/>
  <c r="G26" i="9"/>
  <c r="H26" i="9"/>
  <c r="I26" i="9"/>
  <c r="D27" i="9"/>
  <c r="E27" i="9"/>
  <c r="F27" i="9"/>
  <c r="G27" i="9"/>
  <c r="H27" i="9"/>
  <c r="I27" i="9"/>
  <c r="D28" i="9"/>
  <c r="E28" i="9"/>
  <c r="F28" i="9"/>
  <c r="G28" i="9"/>
  <c r="H28" i="9"/>
  <c r="I28" i="9"/>
  <c r="D29" i="9"/>
  <c r="E29" i="9"/>
  <c r="F29" i="9"/>
  <c r="G29" i="9"/>
  <c r="H29" i="9"/>
  <c r="I29" i="9"/>
  <c r="D30" i="9"/>
  <c r="E30" i="9"/>
  <c r="F30" i="9"/>
  <c r="G30" i="9"/>
  <c r="H30" i="9"/>
  <c r="I30" i="9"/>
  <c r="D31" i="9"/>
  <c r="E31" i="9"/>
  <c r="F31" i="9"/>
  <c r="G31" i="9"/>
  <c r="H31" i="9"/>
  <c r="I31" i="9"/>
  <c r="D32" i="9"/>
  <c r="E32" i="9"/>
  <c r="F32" i="9"/>
  <c r="G32" i="9"/>
  <c r="H32" i="9"/>
  <c r="I32" i="9"/>
  <c r="D33" i="9"/>
  <c r="E33" i="9"/>
  <c r="F33" i="9"/>
  <c r="G33" i="9"/>
  <c r="H33" i="9"/>
  <c r="I33" i="9"/>
  <c r="D34" i="9"/>
  <c r="E34" i="9"/>
  <c r="F34" i="9"/>
  <c r="G34" i="9"/>
  <c r="H34" i="9"/>
  <c r="I34" i="9"/>
  <c r="D35" i="9"/>
  <c r="E35" i="9"/>
  <c r="F35" i="9"/>
  <c r="G35" i="9"/>
  <c r="H35" i="9"/>
  <c r="I35" i="9"/>
  <c r="D36" i="9"/>
  <c r="E36" i="9"/>
  <c r="F36" i="9"/>
  <c r="G36" i="9"/>
  <c r="H36" i="9"/>
  <c r="I36" i="9"/>
  <c r="AE39" i="3"/>
  <c r="AD39" i="3"/>
  <c r="AC39" i="3"/>
  <c r="AB39" i="3"/>
  <c r="AA39" i="3"/>
  <c r="Z39" i="3"/>
  <c r="AE38" i="3"/>
  <c r="AD38" i="3"/>
  <c r="AC38" i="3"/>
  <c r="AB38" i="3"/>
  <c r="AA38" i="3"/>
  <c r="Z38" i="3"/>
  <c r="AE37" i="3"/>
  <c r="AD37" i="3"/>
  <c r="AC37" i="3"/>
  <c r="AB37" i="3"/>
  <c r="AA37" i="3"/>
  <c r="Z37" i="3"/>
  <c r="AE36" i="3"/>
  <c r="AD36" i="3"/>
  <c r="AC36" i="3"/>
  <c r="AB36" i="3"/>
  <c r="AA36" i="3"/>
  <c r="Z36" i="3"/>
  <c r="AE35" i="3"/>
  <c r="AD35" i="3"/>
  <c r="AC35" i="3"/>
  <c r="AB35" i="3"/>
  <c r="AA35" i="3"/>
  <c r="Z35" i="3"/>
  <c r="AE34" i="3"/>
  <c r="AD34" i="3"/>
  <c r="AC34" i="3"/>
  <c r="AB34" i="3"/>
  <c r="AA34" i="3"/>
  <c r="Z34" i="3"/>
  <c r="AE33" i="3"/>
  <c r="AD33" i="3"/>
  <c r="AC33" i="3"/>
  <c r="AB33" i="3"/>
  <c r="AA33" i="3"/>
  <c r="Z33" i="3"/>
  <c r="AE32" i="3"/>
  <c r="AD32" i="3"/>
  <c r="AC32" i="3"/>
  <c r="AB32" i="3"/>
  <c r="AA32" i="3"/>
  <c r="Z32" i="3"/>
  <c r="AE31" i="3"/>
  <c r="AD31" i="3"/>
  <c r="AC31" i="3"/>
  <c r="AB31" i="3"/>
  <c r="AA31" i="3"/>
  <c r="Z31" i="3"/>
  <c r="AE30" i="3"/>
  <c r="AD30" i="3"/>
  <c r="AC30" i="3"/>
  <c r="AB30" i="3"/>
  <c r="AA30" i="3"/>
  <c r="Z30" i="3"/>
  <c r="AE29" i="3"/>
  <c r="AD29" i="3"/>
  <c r="AC29" i="3"/>
  <c r="AB29" i="3"/>
  <c r="AA29" i="3"/>
  <c r="Z29" i="3"/>
  <c r="AE28" i="3"/>
  <c r="AD28" i="3"/>
  <c r="AC28" i="3"/>
  <c r="AB28" i="3"/>
  <c r="AA28" i="3"/>
  <c r="Z28" i="3"/>
  <c r="AE27" i="3"/>
  <c r="AD27" i="3"/>
  <c r="AC27" i="3"/>
  <c r="AB27" i="3"/>
  <c r="AA27" i="3"/>
  <c r="Z27" i="3"/>
  <c r="AE26" i="3"/>
  <c r="AD26" i="3"/>
  <c r="AC26" i="3"/>
  <c r="AB26" i="3"/>
  <c r="AA26" i="3"/>
  <c r="Z26" i="3"/>
  <c r="AE25" i="3"/>
  <c r="AD25" i="3"/>
  <c r="AC25" i="3"/>
  <c r="AB25" i="3"/>
  <c r="AA25" i="3"/>
  <c r="Z25" i="3"/>
  <c r="AE24" i="3"/>
  <c r="AD24" i="3"/>
  <c r="AC24" i="3"/>
  <c r="AB24" i="3"/>
  <c r="AA24" i="3"/>
  <c r="Z24" i="3"/>
  <c r="AE23" i="3"/>
  <c r="AD23" i="3"/>
  <c r="AC23" i="3"/>
  <c r="AB23" i="3"/>
  <c r="AA23" i="3"/>
  <c r="Z23" i="3"/>
  <c r="AE22" i="3"/>
  <c r="AD22" i="3"/>
  <c r="AC22" i="3"/>
  <c r="AB22" i="3"/>
  <c r="AA22" i="3"/>
  <c r="Z22" i="3"/>
  <c r="AE21" i="3"/>
  <c r="AD21" i="3"/>
  <c r="AC21" i="3"/>
  <c r="AB21" i="3"/>
  <c r="AA21" i="3"/>
  <c r="Z21" i="3"/>
  <c r="AE20" i="3"/>
  <c r="AD20" i="3"/>
  <c r="AC20" i="3"/>
  <c r="AB20" i="3"/>
  <c r="AA20" i="3"/>
  <c r="Z20" i="3"/>
  <c r="AE19" i="3"/>
  <c r="AD19" i="3"/>
  <c r="AC19" i="3"/>
  <c r="AB19" i="3"/>
  <c r="AA19" i="3"/>
  <c r="Z19" i="3"/>
  <c r="AE18" i="3"/>
  <c r="AD18" i="3"/>
  <c r="AC18" i="3"/>
  <c r="AB18" i="3"/>
  <c r="AA18" i="3"/>
  <c r="Z18" i="3"/>
  <c r="AE16" i="3"/>
  <c r="AD16" i="3"/>
  <c r="AC16" i="3"/>
  <c r="AB16" i="3"/>
  <c r="AA16" i="3"/>
  <c r="Z16" i="3"/>
  <c r="AE15" i="3"/>
  <c r="AD15" i="3"/>
  <c r="AC15" i="3"/>
  <c r="AB15" i="3"/>
  <c r="AA15" i="3"/>
  <c r="Z15" i="3"/>
  <c r="AE14" i="3"/>
  <c r="AD14" i="3"/>
  <c r="AC14" i="3"/>
  <c r="AB14" i="3"/>
  <c r="AA14" i="3"/>
  <c r="Z14" i="3"/>
  <c r="AE13" i="3"/>
  <c r="AD13" i="3"/>
  <c r="AC13" i="3"/>
  <c r="AB13" i="3"/>
  <c r="AA13" i="3"/>
  <c r="Z13" i="3"/>
  <c r="AE12" i="3"/>
  <c r="AD12" i="3"/>
  <c r="AC12" i="3"/>
  <c r="AB12" i="3"/>
  <c r="AA12" i="3"/>
  <c r="Z12" i="3"/>
  <c r="AE11" i="3"/>
  <c r="AD11" i="3"/>
  <c r="AC11" i="3"/>
  <c r="AB11" i="3"/>
  <c r="AA11" i="3"/>
  <c r="Z11" i="3"/>
  <c r="AE10" i="3"/>
  <c r="AD10" i="3"/>
  <c r="AC10" i="3"/>
  <c r="AB10" i="3"/>
  <c r="AA10" i="3"/>
  <c r="Z10" i="3"/>
  <c r="AE9" i="3"/>
  <c r="AD9" i="3"/>
  <c r="AC9" i="3"/>
  <c r="AB9" i="3"/>
  <c r="AA9" i="3"/>
  <c r="Z9" i="3"/>
  <c r="AE8" i="3"/>
  <c r="AD8" i="3"/>
  <c r="AC8" i="3"/>
  <c r="AB8" i="3"/>
  <c r="AA8" i="3"/>
  <c r="Z8" i="3"/>
  <c r="AE7" i="3"/>
  <c r="AD7" i="3"/>
  <c r="AC7" i="3"/>
  <c r="AB7" i="3"/>
  <c r="AA7" i="3"/>
  <c r="Z7" i="3"/>
  <c r="AE6" i="3"/>
  <c r="AD6" i="3"/>
  <c r="AC6" i="3"/>
  <c r="AB6" i="3"/>
  <c r="AA6" i="3"/>
  <c r="Z6" i="3"/>
  <c r="AE5" i="3"/>
  <c r="AD5" i="3"/>
  <c r="AC5" i="3"/>
  <c r="AB5" i="3"/>
  <c r="AA5" i="3"/>
  <c r="Z5" i="3"/>
  <c r="AE4" i="3"/>
  <c r="AD4" i="3"/>
  <c r="AC4" i="3"/>
  <c r="AB4" i="3"/>
  <c r="AA4" i="3"/>
  <c r="Z4" i="3"/>
  <c r="AE3" i="3"/>
  <c r="AD3" i="3"/>
  <c r="AD40" i="3" s="1"/>
  <c r="AC3" i="3"/>
  <c r="AB3" i="3"/>
  <c r="AA3" i="3"/>
  <c r="Z3" i="3"/>
  <c r="AE2" i="3"/>
  <c r="AD2" i="3"/>
  <c r="AC2" i="3"/>
  <c r="AB2" i="3"/>
  <c r="AB40" i="3" s="1"/>
  <c r="AA2" i="3"/>
  <c r="Z2" i="3"/>
  <c r="AE40" i="3" l="1"/>
  <c r="AC40" i="3"/>
  <c r="AA40" i="3"/>
  <c r="Z40" i="3"/>
  <c r="L6" i="9"/>
  <c r="L12" i="9"/>
  <c r="L19" i="9"/>
  <c r="L24" i="9"/>
  <c r="L29" i="9"/>
  <c r="L34" i="9"/>
  <c r="L14" i="9"/>
  <c r="L30" i="9"/>
  <c r="L9" i="9"/>
  <c r="L26" i="9"/>
  <c r="L16" i="9"/>
  <c r="L31" i="9"/>
  <c r="L3" i="9"/>
  <c r="L17" i="9"/>
  <c r="L32" i="9"/>
  <c r="L18" i="9"/>
  <c r="L7" i="9"/>
  <c r="L13" i="9"/>
  <c r="L25" i="9"/>
  <c r="L35" i="9"/>
  <c r="L8" i="9"/>
  <c r="L36" i="9"/>
  <c r="L15" i="9"/>
  <c r="L10" i="9"/>
  <c r="L27" i="9"/>
  <c r="L2" i="9"/>
  <c r="L28" i="9"/>
  <c r="L20" i="9"/>
  <c r="L4" i="9"/>
  <c r="L23" i="9"/>
  <c r="L5" i="9"/>
  <c r="L33" i="9"/>
  <c r="E11" i="9"/>
  <c r="L11" i="9"/>
  <c r="G21" i="9"/>
  <c r="L21" i="9"/>
  <c r="H22" i="9"/>
  <c r="L22" i="9"/>
  <c r="G9" i="9"/>
  <c r="C37" i="9"/>
  <c r="G22" i="9"/>
  <c r="F22" i="9"/>
  <c r="E22" i="9"/>
  <c r="D22" i="9"/>
  <c r="I22" i="9"/>
  <c r="H11" i="9"/>
  <c r="E20" i="9"/>
  <c r="D11" i="9"/>
  <c r="I21" i="9"/>
  <c r="F21" i="9"/>
  <c r="E21" i="9"/>
  <c r="D21" i="9"/>
  <c r="G11" i="9"/>
  <c r="D9" i="9"/>
  <c r="D20" i="9"/>
  <c r="I11" i="9"/>
  <c r="H21" i="9"/>
  <c r="F9" i="9"/>
  <c r="E9" i="9"/>
  <c r="F11" i="9"/>
  <c r="I9" i="9"/>
  <c r="E26" i="10"/>
  <c r="I11" i="10"/>
  <c r="I56" i="10" s="1"/>
  <c r="F9" i="10"/>
  <c r="I29" i="10"/>
  <c r="D26" i="10"/>
  <c r="D56" i="10" s="1"/>
  <c r="I12" i="10"/>
  <c r="H11" i="10"/>
  <c r="H56" i="10" s="1"/>
  <c r="E9" i="10"/>
  <c r="E56" i="10" s="1"/>
  <c r="H29" i="10"/>
  <c r="H12" i="10"/>
  <c r="G11" i="10"/>
  <c r="G56" i="10" s="1"/>
  <c r="G29" i="10"/>
  <c r="G12" i="10"/>
  <c r="F11" i="10"/>
  <c r="F56" i="10" s="1"/>
  <c r="F29" i="10"/>
  <c r="I26" i="10"/>
  <c r="F12" i="10"/>
  <c r="E11" i="10"/>
  <c r="G20" i="9"/>
  <c r="H9" i="9"/>
  <c r="F20" i="9"/>
  <c r="I20" i="9"/>
  <c r="G37" i="9" l="1"/>
  <c r="F37" i="9"/>
  <c r="E37" i="9"/>
  <c r="I37" i="9"/>
  <c r="D37" i="9"/>
  <c r="H37" i="9"/>
</calcChain>
</file>

<file path=xl/sharedStrings.xml><?xml version="1.0" encoding="utf-8"?>
<sst xmlns="http://schemas.openxmlformats.org/spreadsheetml/2006/main" count="6894" uniqueCount="343">
  <si>
    <r>
      <t xml:space="preserve">Table 1. Sequences of the newly identified trichohypolins produced by </t>
    </r>
    <r>
      <rPr>
        <b/>
        <i/>
        <sz val="11"/>
        <color theme="1"/>
        <rFont val="Arial"/>
        <family val="2"/>
      </rPr>
      <t>T. hypoxylon</t>
    </r>
  </si>
  <si>
    <t>Comp.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</si>
  <si>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</si>
  <si>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</si>
  <si>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</si>
  <si>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</si>
  <si>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</si>
  <si>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</si>
  <si>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</si>
  <si>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</si>
  <si>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</si>
  <si>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</si>
  <si>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</si>
  <si>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</si>
  <si>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</si>
  <si>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</si>
  <si>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</si>
  <si>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</si>
  <si>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</si>
  <si>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</si>
  <si>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</si>
  <si>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Ac-Aib</t>
  </si>
  <si>
    <t>Ala</t>
  </si>
  <si>
    <t>Aib</t>
  </si>
  <si>
    <t>Gln</t>
  </si>
  <si>
    <t>Vxx</t>
  </si>
  <si>
    <t>Gly</t>
  </si>
  <si>
    <t>Leu</t>
  </si>
  <si>
    <t>Pro</t>
  </si>
  <si>
    <t>Pheol</t>
  </si>
  <si>
    <t>Lxx</t>
  </si>
  <si>
    <t>Glu</t>
  </si>
  <si>
    <t>Pheol(Ac)</t>
  </si>
  <si>
    <t>Tyrol</t>
  </si>
  <si>
    <t>Glu(Me)</t>
  </si>
  <si>
    <t>Vxx represents the residue of Val or Iva, and Lxx represents the residue of Leu or Ile.</t>
  </si>
  <si>
    <t>Val</t>
    <phoneticPr fontId="5" type="noConversion"/>
  </si>
  <si>
    <t>Iva</t>
    <phoneticPr fontId="5" type="noConversion"/>
  </si>
  <si>
    <t>Leu</t>
    <phoneticPr fontId="5" type="noConversion"/>
  </si>
  <si>
    <t>Lxx</t>
    <phoneticPr fontId="5" type="noConversion"/>
  </si>
  <si>
    <t>Ac-U</t>
  </si>
  <si>
    <t>U</t>
  </si>
  <si>
    <t>A</t>
  </si>
  <si>
    <t>G</t>
  </si>
  <si>
    <t>Q</t>
  </si>
  <si>
    <t>E</t>
  </si>
  <si>
    <t>E(Me)</t>
  </si>
  <si>
    <t>V</t>
  </si>
  <si>
    <t>Vx</t>
  </si>
  <si>
    <t>Lx</t>
  </si>
  <si>
    <t>P</t>
  </si>
  <si>
    <t>L</t>
  </si>
  <si>
    <t>Fol</t>
  </si>
  <si>
    <t>Fol(Ac)</t>
  </si>
  <si>
    <t>Yol</t>
  </si>
  <si>
    <r>
      <t xml:space="preserve">Table 1. Sequences of the newly identified trichohypolins produced by </t>
    </r>
    <r>
      <rPr>
        <b/>
        <i/>
        <sz val="11"/>
        <color theme="1"/>
        <rFont val="Arial"/>
        <family val="2"/>
      </rPr>
      <t>T. hypoxylon</t>
    </r>
    <phoneticPr fontId="5" type="noConversion"/>
  </si>
  <si>
    <t>Vx represents the residue of Val or Iva, and Lx represents the residue of Leu or Ile.</t>
    <phoneticPr fontId="5" type="noConversion"/>
  </si>
  <si>
    <t>SF5-K</t>
  </si>
  <si>
    <t>SF5-J</t>
  </si>
  <si>
    <t>SF5-I</t>
  </si>
  <si>
    <t>SF5-H</t>
  </si>
  <si>
    <t>SF5-G</t>
  </si>
  <si>
    <t>SF5-F</t>
  </si>
  <si>
    <t>SF5-E</t>
  </si>
  <si>
    <t>SF5-D</t>
  </si>
  <si>
    <t>SF5-C</t>
  </si>
  <si>
    <t>SF5-B</t>
  </si>
  <si>
    <t>SF5-A</t>
  </si>
  <si>
    <t>SF4-K</t>
  </si>
  <si>
    <t>SF4-J</t>
  </si>
  <si>
    <t>SF4-I</t>
  </si>
  <si>
    <t>SF4-H</t>
  </si>
  <si>
    <t>SF4-G</t>
  </si>
  <si>
    <t>SF4-F</t>
  </si>
  <si>
    <t>SF4-E</t>
  </si>
  <si>
    <t>SF4-D</t>
  </si>
  <si>
    <t>SF4-C</t>
  </si>
  <si>
    <t>SF4-B</t>
  </si>
  <si>
    <t>SF4-A</t>
  </si>
  <si>
    <t>SF3-H</t>
  </si>
  <si>
    <t>SF3-G</t>
  </si>
  <si>
    <t>SF3-F</t>
  </si>
  <si>
    <t>SF3-E</t>
  </si>
  <si>
    <t>SF3-D</t>
  </si>
  <si>
    <t>SF3-C</t>
  </si>
  <si>
    <t>SF3-B</t>
  </si>
  <si>
    <t>SF3-A</t>
  </si>
  <si>
    <t>SF2-F</t>
    <phoneticPr fontId="5" type="noConversion"/>
  </si>
  <si>
    <t>SF2-E</t>
  </si>
  <si>
    <t>SF2-D</t>
  </si>
  <si>
    <t>SF2-C</t>
  </si>
  <si>
    <t>SF2-B</t>
  </si>
  <si>
    <t>SF2-A</t>
  </si>
  <si>
    <t>SF1-F</t>
    <phoneticPr fontId="5" type="noConversion"/>
  </si>
  <si>
    <t>SF1-E</t>
  </si>
  <si>
    <t>SF1-D</t>
  </si>
  <si>
    <t>SF1-C</t>
  </si>
  <si>
    <t>SF1-B</t>
  </si>
  <si>
    <t>SF1-A</t>
    <phoneticPr fontId="5" type="noConversion"/>
  </si>
  <si>
    <t>No.</t>
    <phoneticPr fontId="5" type="noConversion"/>
  </si>
  <si>
    <t>iva</t>
  </si>
  <si>
    <t>pro</t>
  </si>
  <si>
    <t>ala</t>
  </si>
  <si>
    <t>gln</t>
  </si>
  <si>
    <t>X</t>
  </si>
  <si>
    <t>antismash</t>
    <phoneticPr fontId="5" type="noConversion"/>
  </si>
  <si>
    <t>NaN</t>
  </si>
  <si>
    <t>Module</t>
    <phoneticPr fontId="5" type="noConversion"/>
  </si>
  <si>
    <t>count</t>
    <phoneticPr fontId="5" type="noConversion"/>
  </si>
  <si>
    <r>
      <rPr>
        <b/>
        <sz val="10"/>
        <color rgb="FF000000"/>
        <rFont val="等线"/>
        <family val="2"/>
      </rPr>
      <t>结论：每个</t>
    </r>
    <r>
      <rPr>
        <b/>
        <sz val="10"/>
        <color rgb="FF000000"/>
        <rFont val="Arial"/>
        <family val="2"/>
      </rPr>
      <t>moudle</t>
    </r>
    <r>
      <rPr>
        <b/>
        <sz val="10"/>
        <color rgb="FF000000"/>
        <rFont val="等线"/>
        <family val="2"/>
      </rPr>
      <t>的</t>
    </r>
    <r>
      <rPr>
        <b/>
        <sz val="10"/>
        <color rgb="FF000000"/>
        <rFont val="Arial"/>
        <family val="2"/>
      </rPr>
      <t>promiscuity</t>
    </r>
    <r>
      <rPr>
        <b/>
        <sz val="10"/>
        <color rgb="FF000000"/>
        <rFont val="等线"/>
        <family val="2"/>
      </rPr>
      <t>基本上是互相独立的</t>
    </r>
    <phoneticPr fontId="5" type="noConversion"/>
  </si>
  <si>
    <t>按照matlab里unique_substrate的顺序</t>
  </si>
  <si>
    <t>把Tyrol放到Pro前了</t>
  </si>
  <si>
    <t>&gt;1</t>
    <phoneticPr fontId="5" type="noConversion"/>
  </si>
  <si>
    <t>&gt;2</t>
    <phoneticPr fontId="5" type="noConversion"/>
  </si>
  <si>
    <t>&gt;3</t>
    <phoneticPr fontId="5" type="noConversion"/>
  </si>
  <si>
    <t>&gt;5</t>
    <phoneticPr fontId="5" type="noConversion"/>
  </si>
  <si>
    <t>&gt;4</t>
    <phoneticPr fontId="5" type="noConversion"/>
  </si>
  <si>
    <t>&gt;10</t>
    <phoneticPr fontId="5" type="noConversion"/>
  </si>
  <si>
    <t>11+12</t>
    <phoneticPr fontId="5" type="noConversion"/>
  </si>
  <si>
    <t>14+15</t>
    <phoneticPr fontId="5" type="noConversion"/>
  </si>
  <si>
    <t>17+18</t>
    <phoneticPr fontId="5" type="noConversion"/>
  </si>
  <si>
    <t>6+7</t>
    <phoneticPr fontId="5" type="noConversion"/>
  </si>
  <si>
    <t>R7</t>
    <phoneticPr fontId="5" type="noConversion"/>
  </si>
  <si>
    <t>R6+R17+R18</t>
    <phoneticPr fontId="5" type="noConversion"/>
  </si>
  <si>
    <t>Ac-Aib</t>
    <phoneticPr fontId="5" type="noConversion"/>
  </si>
  <si>
    <t>Aib</t>
    <phoneticPr fontId="5" type="noConversion"/>
  </si>
  <si>
    <t>Vxx</t>
    <phoneticPr fontId="5" type="noConversion"/>
  </si>
  <si>
    <t>Ala0.95 Vxx0.05</t>
    <phoneticPr fontId="5" type="noConversion"/>
  </si>
  <si>
    <t>Gly</t>
    <phoneticPr fontId="5" type="noConversion"/>
  </si>
  <si>
    <t>Ala0.88 Gly0.12</t>
    <phoneticPr fontId="5" type="noConversion"/>
  </si>
  <si>
    <t>Ala0.93 Aib0.07</t>
    <phoneticPr fontId="5" type="noConversion"/>
  </si>
  <si>
    <t>Gln</t>
    <phoneticPr fontId="5" type="noConversion"/>
  </si>
  <si>
    <t>Gln0.71 Glu0.12 Glu(Me)0.14 Aib0.02</t>
    <phoneticPr fontId="5" type="noConversion"/>
  </si>
  <si>
    <t>Aib0.98 Gln0.02</t>
    <phoneticPr fontId="5" type="noConversion"/>
  </si>
  <si>
    <t>Aib0.98 Ala0.02</t>
    <phoneticPr fontId="5" type="noConversion"/>
  </si>
  <si>
    <t>Lxx0.98 Vxx0.02</t>
    <phoneticPr fontId="5" type="noConversion"/>
  </si>
  <si>
    <t>Vxx0.98 Ala0.02</t>
    <phoneticPr fontId="5" type="noConversion"/>
  </si>
  <si>
    <t>Aib0.62 Vxx0.38</t>
    <phoneticPr fontId="5" type="noConversion"/>
  </si>
  <si>
    <t>Vxx0.9 Lxx0.1</t>
    <phoneticPr fontId="5" type="noConversion"/>
  </si>
  <si>
    <t>Gln0.62 Glu0.19 Glu(Me)0.19</t>
    <phoneticPr fontId="5" type="noConversion"/>
  </si>
  <si>
    <t>Gln0.9 Glu0.05 Glu(Me)0.05</t>
    <phoneticPr fontId="5" type="noConversion"/>
  </si>
  <si>
    <t>Phe0.98 Tyr0.02</t>
    <phoneticPr fontId="5" type="noConversion"/>
  </si>
  <si>
    <t>Phe</t>
  </si>
  <si>
    <t>Tyr</t>
    <phoneticPr fontId="5" type="noConversion"/>
  </si>
  <si>
    <t>Tyr</t>
  </si>
  <si>
    <t>C</t>
    <phoneticPr fontId="5" type="noConversion"/>
  </si>
  <si>
    <t>H</t>
    <phoneticPr fontId="5" type="noConversion"/>
  </si>
  <si>
    <t>N</t>
    <phoneticPr fontId="5" type="noConversion"/>
  </si>
  <si>
    <t>O</t>
    <phoneticPr fontId="5" type="noConversion"/>
  </si>
  <si>
    <t>H/C</t>
    <phoneticPr fontId="5" type="noConversion"/>
  </si>
  <si>
    <t>N/C</t>
    <phoneticPr fontId="5" type="noConversion"/>
  </si>
  <si>
    <t>O/C</t>
    <phoneticPr fontId="5" type="noConversion"/>
  </si>
  <si>
    <t>N/H</t>
    <phoneticPr fontId="5" type="noConversion"/>
  </si>
  <si>
    <t>O/H</t>
    <phoneticPr fontId="5" type="noConversion"/>
  </si>
  <si>
    <t>O/N</t>
    <phoneticPr fontId="5" type="noConversion"/>
  </si>
  <si>
    <t>mean</t>
    <phoneticPr fontId="5" type="noConversion"/>
  </si>
  <si>
    <t>Var</t>
    <phoneticPr fontId="5" type="noConversion"/>
  </si>
  <si>
    <t>Fano factor</t>
    <phoneticPr fontId="5" type="noConversion"/>
  </si>
  <si>
    <t>noise</t>
    <phoneticPr fontId="5" type="noConversion"/>
  </si>
  <si>
    <t>std</t>
    <phoneticPr fontId="5" type="noConversion"/>
  </si>
  <si>
    <t>C/N</t>
    <phoneticPr fontId="5" type="noConversion"/>
  </si>
  <si>
    <t>C/H</t>
    <phoneticPr fontId="5" type="noConversion"/>
  </si>
  <si>
    <t>C/O</t>
    <phoneticPr fontId="5" type="noConversion"/>
  </si>
  <si>
    <t>H/N</t>
    <phoneticPr fontId="5" type="noConversion"/>
  </si>
  <si>
    <t>H/O</t>
    <phoneticPr fontId="5" type="noConversion"/>
  </si>
  <si>
    <t>N/O</t>
    <phoneticPr fontId="5" type="noConversion"/>
  </si>
  <si>
    <t>Aib10</t>
  </si>
  <si>
    <t>Pro1</t>
  </si>
  <si>
    <t>Aib9</t>
  </si>
  <si>
    <t>Vxx&gt;Aib</t>
  </si>
  <si>
    <t>Gln2</t>
  </si>
  <si>
    <t>Aib8</t>
  </si>
  <si>
    <t>Vxx&gt;Ala&gt;Aib</t>
  </si>
  <si>
    <t>Aib&gt;&gt;Vxx&gt;&gt;Ala&gt;Lxx</t>
  </si>
  <si>
    <t>Gly&gt;Ser≈Ala&gt;&gt;Aib</t>
  </si>
  <si>
    <t>Lxx&gt;Vxx&gt;Aib1</t>
  </si>
  <si>
    <t>Aib2</t>
  </si>
  <si>
    <t>Pro3</t>
  </si>
  <si>
    <t>Aib7</t>
  </si>
  <si>
    <t>Gln1</t>
  </si>
  <si>
    <t>Gln3</t>
  </si>
  <si>
    <t>Last1</t>
  </si>
  <si>
    <t>Lxx2</t>
  </si>
  <si>
    <t>Aib&gt;Vxx1</t>
  </si>
  <si>
    <t>Asn</t>
  </si>
  <si>
    <t>Iva</t>
  </si>
  <si>
    <t>Ser</t>
  </si>
  <si>
    <t>Empty</t>
  </si>
  <si>
    <t>S</t>
  </si>
  <si>
    <t>F</t>
  </si>
  <si>
    <t>T</t>
  </si>
  <si>
    <t>I</t>
  </si>
  <si>
    <t>K</t>
  </si>
  <si>
    <t>-</t>
  </si>
  <si>
    <t>Y</t>
  </si>
  <si>
    <t>R</t>
  </si>
  <si>
    <t>N</t>
  </si>
  <si>
    <t>C</t>
  </si>
  <si>
    <t>M</t>
  </si>
  <si>
    <t>D</t>
  </si>
  <si>
    <t>index</t>
    <phoneticPr fontId="5" type="noConversion"/>
  </si>
  <si>
    <t>substrate</t>
    <phoneticPr fontId="5" type="noConversion"/>
  </si>
  <si>
    <t>motif&amp;intermotif</t>
    <phoneticPr fontId="5" type="noConversion"/>
  </si>
  <si>
    <t>MI</t>
    <phoneticPr fontId="5" type="noConversion"/>
  </si>
  <si>
    <t>key sites</t>
    <phoneticPr fontId="5" type="noConversion"/>
  </si>
  <si>
    <t>Max</t>
    <phoneticPr fontId="5" type="noConversion"/>
  </si>
  <si>
    <t>Predict_substrate</t>
    <phoneticPr fontId="5" type="noConversion"/>
  </si>
  <si>
    <t>Judge</t>
    <phoneticPr fontId="5" type="noConversion"/>
  </si>
  <si>
    <t>G</t>
    <phoneticPr fontId="5" type="noConversion"/>
  </si>
  <si>
    <t>alpha1</t>
    <phoneticPr fontId="5" type="noConversion"/>
  </si>
  <si>
    <t>H</t>
  </si>
  <si>
    <t>W</t>
  </si>
  <si>
    <t>F</t>
    <phoneticPr fontId="5" type="noConversion"/>
  </si>
  <si>
    <t>W</t>
    <phoneticPr fontId="5" type="noConversion"/>
  </si>
  <si>
    <t>I</t>
    <phoneticPr fontId="5" type="noConversion"/>
  </si>
  <si>
    <t>D</t>
    <phoneticPr fontId="5" type="noConversion"/>
  </si>
  <si>
    <t>V</t>
    <phoneticPr fontId="5" type="noConversion"/>
  </si>
  <si>
    <t>E</t>
    <phoneticPr fontId="5" type="noConversion"/>
  </si>
  <si>
    <t>L</t>
    <phoneticPr fontId="5" type="noConversion"/>
  </si>
  <si>
    <t>Y</t>
    <phoneticPr fontId="5" type="noConversion"/>
  </si>
  <si>
    <t>文献中位置</t>
    <phoneticPr fontId="5" type="noConversion"/>
  </si>
  <si>
    <t>实际上序列的位置</t>
    <phoneticPr fontId="5" type="noConversion"/>
  </si>
  <si>
    <t>5-G</t>
    <phoneticPr fontId="5" type="noConversion"/>
  </si>
  <si>
    <t>17code</t>
    <phoneticPr fontId="5" type="noConversion"/>
  </si>
  <si>
    <t>S</t>
    <phoneticPr fontId="5" type="noConversion"/>
  </si>
  <si>
    <t>M/I</t>
    <phoneticPr fontId="5" type="noConversion"/>
  </si>
  <si>
    <t>A/G</t>
    <phoneticPr fontId="5" type="noConversion"/>
  </si>
  <si>
    <t>L/F</t>
    <phoneticPr fontId="5" type="noConversion"/>
  </si>
  <si>
    <t>A</t>
    <phoneticPr fontId="5" type="noConversion"/>
  </si>
  <si>
    <t>F/V</t>
    <phoneticPr fontId="5" type="noConversion"/>
  </si>
  <si>
    <t>Ala</t>
    <phoneticPr fontId="5" type="noConversion"/>
  </si>
  <si>
    <t>I/L</t>
    <phoneticPr fontId="5" type="noConversion"/>
  </si>
  <si>
    <t>M/V</t>
    <phoneticPr fontId="5" type="noConversion"/>
  </si>
  <si>
    <t>V/I/L</t>
    <phoneticPr fontId="5" type="noConversion"/>
  </si>
  <si>
    <t>G/F</t>
    <phoneticPr fontId="5" type="noConversion"/>
  </si>
  <si>
    <t>L/S</t>
    <phoneticPr fontId="5" type="noConversion"/>
  </si>
  <si>
    <t>L/M</t>
    <phoneticPr fontId="5" type="noConversion"/>
  </si>
  <si>
    <t>V/L</t>
    <phoneticPr fontId="5" type="noConversion"/>
  </si>
  <si>
    <t>L/V</t>
    <phoneticPr fontId="5" type="noConversion"/>
  </si>
  <si>
    <t>L/F/I</t>
    <phoneticPr fontId="5" type="noConversion"/>
  </si>
  <si>
    <t>M</t>
    <phoneticPr fontId="5" type="noConversion"/>
  </si>
  <si>
    <t>V/I</t>
    <phoneticPr fontId="5" type="noConversion"/>
  </si>
  <si>
    <t>Q/N/A/E</t>
    <phoneticPr fontId="5" type="noConversion"/>
  </si>
  <si>
    <t>Y/M</t>
    <phoneticPr fontId="5" type="noConversion"/>
  </si>
  <si>
    <t>I/V/M</t>
    <phoneticPr fontId="5" type="noConversion"/>
  </si>
  <si>
    <t>F/L</t>
    <phoneticPr fontId="5" type="noConversion"/>
  </si>
  <si>
    <t>S/N</t>
    <phoneticPr fontId="5" type="noConversion"/>
  </si>
  <si>
    <t>Y/I/S</t>
    <phoneticPr fontId="5" type="noConversion"/>
  </si>
  <si>
    <t>L/Y</t>
    <phoneticPr fontId="5" type="noConversion"/>
  </si>
  <si>
    <t>A/F/M</t>
    <phoneticPr fontId="5" type="noConversion"/>
  </si>
  <si>
    <t>A/L/S/G</t>
    <phoneticPr fontId="5" type="noConversion"/>
  </si>
  <si>
    <t>A/M/P</t>
    <phoneticPr fontId="5" type="noConversion"/>
  </si>
  <si>
    <t>L/Y/F</t>
    <phoneticPr fontId="5" type="noConversion"/>
  </si>
  <si>
    <t>V/L/I</t>
    <phoneticPr fontId="5" type="noConversion"/>
  </si>
  <si>
    <t>I/L/M/F</t>
    <phoneticPr fontId="5" type="noConversion"/>
  </si>
  <si>
    <t>L/I/M/A</t>
    <phoneticPr fontId="5" type="noConversion"/>
  </si>
  <si>
    <t>F/V/M/A</t>
    <phoneticPr fontId="5" type="noConversion"/>
  </si>
  <si>
    <t>S/V</t>
    <phoneticPr fontId="5" type="noConversion"/>
  </si>
  <si>
    <t>L/A/Q</t>
    <phoneticPr fontId="5" type="noConversion"/>
  </si>
  <si>
    <t>L/V/F</t>
    <phoneticPr fontId="5" type="noConversion"/>
  </si>
  <si>
    <t>F/A/I</t>
    <phoneticPr fontId="5" type="noConversion"/>
  </si>
  <si>
    <t>T/S</t>
    <phoneticPr fontId="5" type="noConversion"/>
  </si>
  <si>
    <t>L/I</t>
    <phoneticPr fontId="5" type="noConversion"/>
  </si>
  <si>
    <t>L/V/I</t>
    <phoneticPr fontId="5" type="noConversion"/>
  </si>
  <si>
    <t>V/G/A</t>
    <phoneticPr fontId="5" type="noConversion"/>
  </si>
  <si>
    <t>M/V/L/A</t>
    <phoneticPr fontId="5" type="noConversion"/>
  </si>
  <si>
    <t>G/A/I</t>
    <phoneticPr fontId="5" type="noConversion"/>
  </si>
  <si>
    <t>G/I/A</t>
    <phoneticPr fontId="5" type="noConversion"/>
  </si>
  <si>
    <t>F/I/T/A</t>
    <phoneticPr fontId="5" type="noConversion"/>
  </si>
  <si>
    <t>S/T</t>
    <phoneticPr fontId="5" type="noConversion"/>
  </si>
  <si>
    <t>Y/H</t>
    <phoneticPr fontId="5" type="noConversion"/>
  </si>
  <si>
    <t>T/L</t>
    <phoneticPr fontId="5" type="noConversion"/>
  </si>
  <si>
    <t>Pro</t>
    <phoneticPr fontId="5" type="noConversion"/>
  </si>
  <si>
    <t>V/T/I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</si>
  <si>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2"/>
        <scheme val="minor"/>
      </rPr>
      <t>/A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</si>
  <si>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Y</t>
    </r>
    <r>
      <rPr>
        <sz val="11"/>
        <color theme="1"/>
        <rFont val="等线"/>
        <family val="2"/>
        <scheme val="minor"/>
      </rPr>
      <t>/H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</si>
  <si>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2"/>
        <scheme val="minor"/>
      </rPr>
      <t>/T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</si>
  <si>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V</t>
    </r>
    <r>
      <rPr>
        <sz val="11"/>
        <color theme="1"/>
        <rFont val="等线"/>
        <family val="2"/>
        <scheme val="minor"/>
      </rPr>
      <t>/I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</si>
  <si>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2"/>
        <scheme val="minor"/>
      </rPr>
      <t>/I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</si>
  <si>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2"/>
        <scheme val="minor"/>
      </rPr>
      <t>/A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</si>
  <si>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T/G</t>
    </r>
    <r>
      <rPr>
        <sz val="11"/>
        <color theme="1"/>
        <rFont val="等线"/>
        <family val="2"/>
        <scheme val="minor"/>
      </rPr>
      <t>/A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</si>
  <si>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/V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</si>
  <si>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/I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</si>
  <si>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F/Y</t>
    </r>
    <r>
      <rPr>
        <sz val="11"/>
        <color theme="1"/>
        <rFont val="等线"/>
        <family val="2"/>
        <scheme val="minor"/>
      </rPr>
      <t>/W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</si>
  <si>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V</t>
    </r>
    <r>
      <rPr>
        <sz val="11"/>
        <color theme="1"/>
        <rFont val="等线"/>
        <family val="2"/>
        <scheme val="minor"/>
      </rPr>
      <t>/C/L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</si>
  <si>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A/G</t>
    </r>
    <r>
      <rPr>
        <sz val="11"/>
        <color theme="1"/>
        <rFont val="等线"/>
        <family val="2"/>
        <scheme val="minor"/>
      </rPr>
      <t>/L/S/C</t>
    </r>
    <phoneticPr fontId="5" type="noConversion"/>
  </si>
  <si>
    <t>Substrate</t>
    <phoneticPr fontId="5" type="noConversion"/>
  </si>
  <si>
    <t>K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</si>
  <si>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G/N/A</t>
    </r>
    <r>
      <rPr>
        <sz val="11"/>
        <color theme="1"/>
        <rFont val="等线"/>
        <family val="2"/>
        <scheme val="minor"/>
      </rPr>
      <t>/S/D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</si>
  <si>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等线"/>
        <family val="2"/>
        <scheme val="minor"/>
      </rPr>
      <t>/R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</si>
  <si>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P/I</t>
    </r>
    <r>
      <rPr>
        <sz val="11"/>
        <color theme="1"/>
        <rFont val="等线"/>
        <family val="2"/>
        <scheme val="minor"/>
      </rPr>
      <t>/T</t>
    </r>
    <phoneticPr fontId="5" type="noConversion"/>
  </si>
  <si>
    <t>K/E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</si>
  <si>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/R</t>
    </r>
    <phoneticPr fontId="5" type="noConversion"/>
  </si>
  <si>
    <t>-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</si>
  <si>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R/S</t>
    </r>
    <r>
      <rPr>
        <sz val="11"/>
        <color theme="1"/>
        <rFont val="等线"/>
        <family val="3"/>
        <charset val="134"/>
        <scheme val="minor"/>
      </rPr>
      <t>/G</t>
    </r>
    <phoneticPr fontId="5" type="noConversion"/>
  </si>
  <si>
    <t>T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</si>
  <si>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2"/>
        <scheme val="minor"/>
      </rPr>
      <t>/N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</si>
  <si>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scheme val="minor"/>
      </rPr>
      <t>/V</t>
    </r>
    <phoneticPr fontId="5" type="noConversion"/>
  </si>
  <si>
    <t>P/T/S/A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</si>
  <si>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T/N</t>
    </r>
    <r>
      <rPr>
        <sz val="11"/>
        <color theme="1"/>
        <rFont val="等线"/>
        <family val="3"/>
        <charset val="134"/>
        <scheme val="minor"/>
      </rPr>
      <t>/I</t>
    </r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</si>
  <si>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等线"/>
        <family val="3"/>
        <charset val="134"/>
        <scheme val="minor"/>
      </rPr>
      <t>/Q</t>
    </r>
    <phoneticPr fontId="5" type="noConversion"/>
  </si>
  <si>
    <t>用20code去预测promiscuity的39个</t>
    <phoneticPr fontId="5" type="noConversion"/>
  </si>
  <si>
    <t>第一底物</t>
    <phoneticPr fontId="5" type="noConversion"/>
  </si>
  <si>
    <t>第二底物</t>
    <phoneticPr fontId="5" type="noConversion"/>
  </si>
  <si>
    <t>第一底物对</t>
    <phoneticPr fontId="5" type="noConversion"/>
  </si>
  <si>
    <t>第二底物对</t>
    <phoneticPr fontId="5" type="noConversion"/>
  </si>
  <si>
    <t>用20code做HMM预测promiscuity的底物</t>
    <phoneticPr fontId="5" type="noConversion"/>
  </si>
  <si>
    <t>数量比较多的几种A的20code</t>
    <phoneticPr fontId="5" type="noConversion"/>
  </si>
  <si>
    <t>用159:178这一段做HMM去预测</t>
    <phoneticPr fontId="5" type="noConversion"/>
  </si>
  <si>
    <t>G-6</t>
    <phoneticPr fontId="5" type="noConversion"/>
  </si>
  <si>
    <t>Blosum62</t>
    <phoneticPr fontId="5" type="noConversion"/>
  </si>
  <si>
    <t>比较46（promiscuity）和9（fixed Aib）在序列上有什么区别</t>
  </si>
  <si>
    <t>Aib background</t>
    <phoneticPr fontId="5" type="noConversion"/>
  </si>
  <si>
    <t>Vxx background</t>
    <phoneticPr fontId="5" type="noConversion"/>
  </si>
  <si>
    <t>alpha1-1</t>
    <phoneticPr fontId="5" type="noConversion"/>
  </si>
  <si>
    <t>Aib1</t>
    <phoneticPr fontId="5" type="noConversion"/>
  </si>
  <si>
    <t>Aib2</t>
    <phoneticPr fontId="5" type="noConversion"/>
  </si>
  <si>
    <t>Aib3</t>
  </si>
  <si>
    <t>Aib4</t>
  </si>
  <si>
    <t>Aib5</t>
  </si>
  <si>
    <t>Aib6</t>
  </si>
  <si>
    <t>Vxx1</t>
    <phoneticPr fontId="5" type="noConversion"/>
  </si>
  <si>
    <t>Vxx2</t>
    <phoneticPr fontId="5" type="noConversion"/>
  </si>
  <si>
    <t>Vxx3</t>
  </si>
  <si>
    <t>Vxx4</t>
  </si>
  <si>
    <t>Vxx5</t>
  </si>
  <si>
    <t>Vxx6</t>
  </si>
  <si>
    <t>Aib1/(Aib1+Vxx1)</t>
    <phoneticPr fontId="5" type="noConversion"/>
  </si>
  <si>
    <t>corr with whole A</t>
    <phoneticPr fontId="5" type="noConversion"/>
  </si>
  <si>
    <t>corr with F codes</t>
    <phoneticPr fontId="5" type="noConversion"/>
  </si>
  <si>
    <t>A1-A2</t>
  </si>
  <si>
    <t>A2-A3</t>
  </si>
  <si>
    <t>A3-A4</t>
  </si>
  <si>
    <t>A4-A5</t>
  </si>
  <si>
    <t>A5-G</t>
  </si>
  <si>
    <t>G-A6</t>
  </si>
  <si>
    <t>A6-A7</t>
  </si>
  <si>
    <t>A7-A8</t>
  </si>
  <si>
    <t>A8-A9</t>
  </si>
  <si>
    <t>A9-A10</t>
  </si>
  <si>
    <t>A10-T1</t>
  </si>
  <si>
    <t>intermotif</t>
    <phoneticPr fontId="5" type="noConversion"/>
  </si>
  <si>
    <t>Aα1-A1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</si>
</sst>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000"/>
  </numFmts>
  <fonts count="17" x14ac:knownFonts="1">
    <font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等线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i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7" fillId="0" borderId="26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76" fontId="0" fillId="0" borderId="0" xfId="0" applyNumberFormat="1"/>
    <xf numFmtId="177" fontId="0" fillId="0" borderId="0" xfId="0" applyNumberFormat="1"/>
    <xf numFmtId="0" fontId="6" fillId="2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10" fillId="0" borderId="0" xfId="0" applyFont="1"/>
    <xf numFmtId="0" fontId="11" fillId="0" borderId="0" xfId="0" applyFont="1"/>
    <xf numFmtId="0" fontId="0" fillId="0" borderId="0" xfId="0" applyFill="1" applyBorder="1"/>
    <xf numFmtId="0" fontId="0" fillId="0" borderId="0" xfId="0" applyBorder="1"/>
    <xf numFmtId="0" fontId="3" fillId="0" borderId="9" xfId="0" applyFont="1" applyFill="1" applyBorder="1" applyAlignment="1">
      <alignment horizontal="left" vertical="center"/>
    </xf>
    <xf numFmtId="178" fontId="0" fillId="0" borderId="0" xfId="0" applyNumberFormat="1"/>
    <xf numFmtId="2" fontId="0" fillId="0" borderId="0" xfId="0" applyNumberFormat="1"/>
    <xf numFmtId="2" fontId="10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2" fillId="0" borderId="10" xfId="0" applyFont="1" applyBorder="1"/>
    <xf numFmtId="0" fontId="0" fillId="0" borderId="11" xfId="0" applyBorder="1"/>
    <xf numFmtId="0" fontId="0" fillId="0" borderId="10" xfId="0" applyBorder="1"/>
    <xf numFmtId="0" fontId="0" fillId="0" borderId="28" xfId="0" applyBorder="1"/>
    <xf numFmtId="0" fontId="0" fillId="0" borderId="34" xfId="0" applyBorder="1"/>
    <xf numFmtId="0" fontId="0" fillId="0" borderId="22" xfId="0" applyBorder="1"/>
    <xf numFmtId="0" fontId="12" fillId="0" borderId="28" xfId="0" applyFont="1" applyBorder="1"/>
    <xf numFmtId="0" fontId="0" fillId="0" borderId="24" xfId="0" applyBorder="1"/>
    <xf numFmtId="0" fontId="0" fillId="0" borderId="35" xfId="0" applyBorder="1"/>
    <xf numFmtId="0" fontId="0" fillId="0" borderId="21" xfId="0" applyBorder="1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Sheet5!$E$2:$E$33</c:f>
              <c:numCache>
                <c:formatCode>General</c:formatCode>
                <c:ptCount val="21"/>
                <c:pt idx="0">
                  <c:v>4</c:v>
                </c:pt>
                <c:pt idx="1">
                  <c:v>41</c:v>
                </c:pt>
                <c:pt idx="2">
                  <c:v>58</c:v>
                </c:pt>
                <c:pt idx="3">
                  <c:v>87</c:v>
                </c:pt>
                <c:pt idx="4">
                  <c:v>104</c:v>
                </c:pt>
                <c:pt idx="5">
                  <c:v>119</c:v>
                </c:pt>
                <c:pt idx="6">
                  <c:v>129</c:v>
                </c:pt>
                <c:pt idx="7">
                  <c:v>201</c:v>
                </c:pt>
                <c:pt idx="8">
                  <c:v>248</c:v>
                </c:pt>
                <c:pt idx="9">
                  <c:v>329</c:v>
                </c:pt>
                <c:pt idx="10">
                  <c:v>375</c:v>
                </c:pt>
                <c:pt idx="11">
                  <c:v>398</c:v>
                </c:pt>
                <c:pt idx="12">
                  <c:v>437</c:v>
                </c:pt>
                <c:pt idx="13">
                  <c:v>444</c:v>
                </c:pt>
                <c:pt idx="14">
                  <c:v>487</c:v>
                </c:pt>
                <c:pt idx="15">
                  <c:v>490</c:v>
                </c:pt>
                <c:pt idx="16">
                  <c:v>498</c:v>
                </c:pt>
                <c:pt idx="17">
                  <c:v>504</c:v>
                </c:pt>
                <c:pt idx="18">
                  <c:v>533</c:v>
                </c:pt>
                <c:pt idx="19">
                  <c:v>538</c:v>
                </c:pt>
                <c:pt idx="20">
                  <c:v>565</c:v>
                </c:pt>
              </c:numCache>
            </c:numRef>
          </c:xVal>
          <c:yVal>
            <c:numRef>
              <c:f>Sheet5!$H$2:$H$33</c:f>
              <c:numCache>
                <c:formatCode>General</c:formatCode>
                <c:ptCount val="21"/>
                <c:pt idx="0">
                  <c:v>-3</c:v>
                </c:pt>
                <c:pt idx="1">
                  <c:v>3</c:v>
                </c:pt>
                <c:pt idx="2">
                  <c:v>3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-2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-3</c:v>
                </c:pt>
                <c:pt idx="20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0-466D-B062-5E67C035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33679"/>
        <c:axId val="1174984591"/>
      </c:scatterChart>
      <c:valAx>
        <c:axId val="58963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Location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984591"/>
        <c:crosses val="autoZero"/>
        <c:crossBetween val="midCat"/>
      </c:valAx>
      <c:valAx>
        <c:axId val="11749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BLOSUM62 score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963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Sheet5!$K$3:$K$25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Sheet5!$R$3:$R$25</c:f>
              <c:numCache>
                <c:formatCode>General</c:formatCode>
                <c:ptCount val="12"/>
                <c:pt idx="0">
                  <c:v>0.38424541200920909</c:v>
                </c:pt>
                <c:pt idx="1">
                  <c:v>0.35171170778324989</c:v>
                </c:pt>
                <c:pt idx="2">
                  <c:v>0.40987656151168511</c:v>
                </c:pt>
                <c:pt idx="3">
                  <c:v>0.25918143956273726</c:v>
                </c:pt>
                <c:pt idx="4">
                  <c:v>0.31364353227191416</c:v>
                </c:pt>
                <c:pt idx="5">
                  <c:v>0.12344594448465446</c:v>
                </c:pt>
                <c:pt idx="6">
                  <c:v>0.3809063722743945</c:v>
                </c:pt>
                <c:pt idx="7">
                  <c:v>0.39388709408575084</c:v>
                </c:pt>
                <c:pt idx="8">
                  <c:v>0.25767434268103295</c:v>
                </c:pt>
                <c:pt idx="9">
                  <c:v>0.38273339716101878</c:v>
                </c:pt>
                <c:pt idx="10">
                  <c:v>0.19496222366582827</c:v>
                </c:pt>
                <c:pt idx="11">
                  <c:v>0.38030552686226654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F-4FA0-ACD4-7B776923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099295"/>
        <c:axId val="1174985839"/>
      </c:lineChart>
      <c:catAx>
        <c:axId val="11890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985839"/>
        <c:crosses val="autoZero"/>
        <c:auto val="1"/>
        <c:lblAlgn val="ctr"/>
        <c:lblOffset val="100"/>
        <c:noMultiLvlLbl val="0"/>
      </c:catAx>
      <c:valAx>
        <c:axId val="11749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909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Sheet5!$S$48:$S$71</c:f>
              <c:numCache>
                <c:formatCode>General</c:formatCode>
                <c:ptCount val="12"/>
                <c:pt idx="0">
                  <c:v>0.43604734694568825</c:v>
                </c:pt>
                <c:pt idx="1">
                  <c:v>0.35186448502528644</c:v>
                </c:pt>
                <c:pt idx="2">
                  <c:v>0.43304000893576905</c:v>
                </c:pt>
                <c:pt idx="3">
                  <c:v>0.29614567518231433</c:v>
                </c:pt>
                <c:pt idx="4">
                  <c:v>0.35062587286995395</c:v>
                </c:pt>
                <c:pt idx="5">
                  <c:v>8.1359634010181411E-2</c:v>
                </c:pt>
                <c:pt idx="6">
                  <c:v>0.35852607029878741</c:v>
                </c:pt>
                <c:pt idx="7">
                  <c:v>0.39278193017534507</c:v>
                </c:pt>
                <c:pt idx="8">
                  <c:v>0.33250764809352645</c:v>
                </c:pt>
                <c:pt idx="9">
                  <c:v>0.38833970174555338</c:v>
                </c:pt>
                <c:pt idx="10">
                  <c:v>0.1784589479777578</c:v>
                </c:pt>
                <c:pt idx="11">
                  <c:v>0.36932077394304358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5-423D-B68F-CDF1628B50C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Sheet5!$T$48:$T$71</c:f>
              <c:numCache>
                <c:formatCode>General</c:formatCode>
                <c:ptCount val="12"/>
                <c:pt idx="0">
                  <c:v>0.40522016763084945</c:v>
                </c:pt>
                <c:pt idx="1">
                  <c:v>0.36535170773986886</c:v>
                </c:pt>
                <c:pt idx="2">
                  <c:v>0.43031898342821961</c:v>
                </c:pt>
                <c:pt idx="3">
                  <c:v>0.30359132989239823</c:v>
                </c:pt>
                <c:pt idx="4">
                  <c:v>0.3604995989867259</c:v>
                </c:pt>
                <c:pt idx="5">
                  <c:v>8.4250055438549618E-2</c:v>
                </c:pt>
                <c:pt idx="6">
                  <c:v>0.35852607029878741</c:v>
                </c:pt>
                <c:pt idx="7">
                  <c:v>0.40552221182543308</c:v>
                </c:pt>
                <c:pt idx="8">
                  <c:v>0.33250764809352645</c:v>
                </c:pt>
                <c:pt idx="9">
                  <c:v>0.37666975815017595</c:v>
                </c:pt>
                <c:pt idx="10">
                  <c:v>0.1784589479777578</c:v>
                </c:pt>
                <c:pt idx="11">
                  <c:v>0.39292210265768579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35-423D-B68F-CDF1628B50C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Sheet5!$U$48:$U$71</c:f>
              <c:numCache>
                <c:formatCode>General</c:formatCode>
                <c:ptCount val="12"/>
                <c:pt idx="0">
                  <c:v>0.36987834044858098</c:v>
                </c:pt>
                <c:pt idx="1">
                  <c:v>0.33752249974143822</c:v>
                </c:pt>
                <c:pt idx="2">
                  <c:v>0.35067942468889479</c:v>
                </c:pt>
                <c:pt idx="3">
                  <c:v>0.15584319954964765</c:v>
                </c:pt>
                <c:pt idx="4">
                  <c:v>0.24554871862308619</c:v>
                </c:pt>
                <c:pt idx="5">
                  <c:v>0.12088588575088556</c:v>
                </c:pt>
                <c:pt idx="6">
                  <c:v>0.42395763962270111</c:v>
                </c:pt>
                <c:pt idx="7">
                  <c:v>0.41142433347368107</c:v>
                </c:pt>
                <c:pt idx="8">
                  <c:v>0.10589758116057335</c:v>
                </c:pt>
                <c:pt idx="9">
                  <c:v>0.33007078134131346</c:v>
                </c:pt>
                <c:pt idx="10">
                  <c:v>0.14757051322307504</c:v>
                </c:pt>
                <c:pt idx="11">
                  <c:v>0.32360108118363484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5-423D-B68F-CDF1628B50C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Sheet5!$V$48:$V$71</c:f>
              <c:numCache>
                <c:formatCode>General</c:formatCode>
                <c:ptCount val="12"/>
                <c:pt idx="0">
                  <c:v>0.3401879381658614</c:v>
                </c:pt>
                <c:pt idx="1">
                  <c:v>0.41968317266568245</c:v>
                </c:pt>
                <c:pt idx="2">
                  <c:v>0.42105836056544671</c:v>
                </c:pt>
                <c:pt idx="3">
                  <c:v>0.25731545936441297</c:v>
                </c:pt>
                <c:pt idx="4">
                  <c:v>0.26614449385230599</c:v>
                </c:pt>
                <c:pt idx="5">
                  <c:v>0.1780229400881759</c:v>
                </c:pt>
                <c:pt idx="6">
                  <c:v>0.38838301687237115</c:v>
                </c:pt>
                <c:pt idx="7">
                  <c:v>0.37664208616760259</c:v>
                </c:pt>
                <c:pt idx="8">
                  <c:v>0.2417275840095757</c:v>
                </c:pt>
                <c:pt idx="9">
                  <c:v>0.44441732424079561</c:v>
                </c:pt>
                <c:pt idx="10">
                  <c:v>0.20650790758166301</c:v>
                </c:pt>
                <c:pt idx="11">
                  <c:v>0.41632411742299469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35-423D-B68F-CDF1628B50C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Sheet5!$W$48:$W$71</c:f>
              <c:numCache>
                <c:formatCode>General</c:formatCode>
                <c:ptCount val="12"/>
                <c:pt idx="0">
                  <c:v>0.4205499127871456</c:v>
                </c:pt>
                <c:pt idx="1">
                  <c:v>0.32353073119759174</c:v>
                </c:pt>
                <c:pt idx="2">
                  <c:v>0.42872359255471049</c:v>
                </c:pt>
                <c:pt idx="3">
                  <c:v>0.20837761060734625</c:v>
                </c:pt>
                <c:pt idx="4">
                  <c:v>0.29377706900060996</c:v>
                </c:pt>
                <c:pt idx="5">
                  <c:v>0.11219097544091687</c:v>
                </c:pt>
                <c:pt idx="6">
                  <c:v>0.41739254949112936</c:v>
                </c:pt>
                <c:pt idx="7">
                  <c:v>0.41030512817807163</c:v>
                </c:pt>
                <c:pt idx="8">
                  <c:v>0.33970891771134581</c:v>
                </c:pt>
                <c:pt idx="9">
                  <c:v>0.38760310680047927</c:v>
                </c:pt>
                <c:pt idx="10">
                  <c:v>0.21734354192066854</c:v>
                </c:pt>
                <c:pt idx="11">
                  <c:v>0.37245439827531279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35-423D-B68F-CDF1628B50C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Sheet5!$X$48:$X$71</c:f>
              <c:numCache>
                <c:formatCode>General</c:formatCode>
                <c:ptCount val="12"/>
                <c:pt idx="0">
                  <c:v>0.31580358233553879</c:v>
                </c:pt>
                <c:pt idx="1">
                  <c:v>0.29933453074205624</c:v>
                </c:pt>
                <c:pt idx="2">
                  <c:v>0.39142137261923798</c:v>
                </c:pt>
                <c:pt idx="3">
                  <c:v>0.30222458766685933</c:v>
                </c:pt>
                <c:pt idx="4">
                  <c:v>0.35334328750013938</c:v>
                </c:pt>
                <c:pt idx="5">
                  <c:v>0.14511388546976597</c:v>
                </c:pt>
                <c:pt idx="6">
                  <c:v>0.31713195732885441</c:v>
                </c:pt>
                <c:pt idx="7">
                  <c:v>0.36053874331612973</c:v>
                </c:pt>
                <c:pt idx="8">
                  <c:v>0.21463365736601661</c:v>
                </c:pt>
                <c:pt idx="9">
                  <c:v>0.34910344520590214</c:v>
                </c:pt>
                <c:pt idx="10">
                  <c:v>0.21637123155756302</c:v>
                </c:pt>
                <c:pt idx="11">
                  <c:v>0.39946969393521431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35-423D-B68F-CDF1628B5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61007"/>
        <c:axId val="1264347759"/>
      </c:lineChart>
      <c:catAx>
        <c:axId val="11746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347759"/>
        <c:crosses val="autoZero"/>
        <c:auto val="1"/>
        <c:lblAlgn val="ctr"/>
        <c:lblOffset val="100"/>
        <c:noMultiLvlLbl val="0"/>
      </c:catAx>
      <c:valAx>
        <c:axId val="12643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6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2115704286964131E-2"/>
                  <c:y val="-0.16473170020414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Sheet5!$S$46:$X$46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Sheet5!$S$49:$X$49</c:f>
              <c:numCache>
                <c:formatCode>General</c:formatCode>
                <c:ptCount val="6"/>
                <c:pt idx="0">
                  <c:v>0.43604734694568825</c:v>
                </c:pt>
                <c:pt idx="1">
                  <c:v>0.40522016763084945</c:v>
                </c:pt>
                <c:pt idx="2">
                  <c:v>0.36987834044858098</c:v>
                </c:pt>
                <c:pt idx="3">
                  <c:v>0.3401879381658614</c:v>
                </c:pt>
                <c:pt idx="4">
                  <c:v>0.4205499127871456</c:v>
                </c:pt>
                <c:pt idx="5">
                  <c:v>0.31580358233553879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AB-45FC-A84A-24E822C41B8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671259842519686E-2"/>
                  <c:y val="-3.5921916010498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Sheet5!$S$46:$X$46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Sheet5!$S$51:$X$51</c:f>
              <c:numCache>
                <c:formatCode>General</c:formatCode>
                <c:ptCount val="6"/>
                <c:pt idx="0">
                  <c:v>0.35186448502528644</c:v>
                </c:pt>
                <c:pt idx="1">
                  <c:v>0.36535170773986886</c:v>
                </c:pt>
                <c:pt idx="2">
                  <c:v>0.33752249974143822</c:v>
                </c:pt>
                <c:pt idx="3">
                  <c:v>0.41968317266568245</c:v>
                </c:pt>
                <c:pt idx="4">
                  <c:v>0.32353073119759174</c:v>
                </c:pt>
                <c:pt idx="5">
                  <c:v>0.29933453074205624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AB-45FC-A84A-24E822C41B8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560148731408575E-2"/>
                  <c:y val="7.15981335666375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Sheet5!$S$46:$X$46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Sheet5!$S$59:$X$59</c:f>
              <c:numCache>
                <c:formatCode>General</c:formatCode>
                <c:ptCount val="6"/>
                <c:pt idx="0">
                  <c:v>8.1359634010181411E-2</c:v>
                </c:pt>
                <c:pt idx="1">
                  <c:v>8.4250055438549618E-2</c:v>
                </c:pt>
                <c:pt idx="2">
                  <c:v>0.12088588575088556</c:v>
                </c:pt>
                <c:pt idx="3">
                  <c:v>0.1780229400881759</c:v>
                </c:pt>
                <c:pt idx="4">
                  <c:v>0.11219097544091687</c:v>
                </c:pt>
                <c:pt idx="5">
                  <c:v>0.14511388546976597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AB-45FC-A84A-24E822C41B8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449037620297462E-2"/>
                  <c:y val="-2.61905803441236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Sheet5!$S$46:$X$46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Sheet5!$S$69:$X$69</c:f>
              <c:numCache>
                <c:formatCode>General</c:formatCode>
                <c:ptCount val="6"/>
                <c:pt idx="0">
                  <c:v>0.1784589479777578</c:v>
                </c:pt>
                <c:pt idx="1">
                  <c:v>0.1784589479777578</c:v>
                </c:pt>
                <c:pt idx="2">
                  <c:v>0.14757051322307504</c:v>
                </c:pt>
                <c:pt idx="3">
                  <c:v>0.20650790758166301</c:v>
                </c:pt>
                <c:pt idx="4">
                  <c:v>0.21734354192066854</c:v>
                </c:pt>
                <c:pt idx="5">
                  <c:v>0.21637123155756302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AB-45FC-A84A-24E822C41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481439"/>
        <c:axId val="1253455215"/>
      </c:scatterChart>
      <c:valAx>
        <c:axId val="11874814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455215"/>
        <c:crosses val="autoZero"/>
        <c:crossBetween val="midCat"/>
      </c:valAx>
      <c:valAx>
        <c:axId val="12534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48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Sheet5!$S$98:$S$121</c:f>
              <c:numCache>
                <c:formatCode>General</c:formatCode>
                <c:ptCount val="12"/>
                <c:pt idx="0">
                  <c:v>0.37066589347359574</c:v>
                </c:pt>
                <c:pt idx="1">
                  <c:v>0.40338989354240801</c:v>
                </c:pt>
                <c:pt idx="2">
                  <c:v>0.40491435787685037</c:v>
                </c:pt>
                <c:pt idx="3">
                  <c:v>0.26214922965213167</c:v>
                </c:pt>
                <c:pt idx="4">
                  <c:v>0.39763891143664032</c:v>
                </c:pt>
                <c:pt idx="5">
                  <c:v>0.14469017003905366</c:v>
                </c:pt>
                <c:pt idx="6">
                  <c:v>0.45916180290550357</c:v>
                </c:pt>
                <c:pt idx="7">
                  <c:v>0.37240651386257284</c:v>
                </c:pt>
                <c:pt idx="8">
                  <c:v>0.20823174650447848</c:v>
                </c:pt>
                <c:pt idx="9">
                  <c:v>0.45798286548637523</c:v>
                </c:pt>
                <c:pt idx="10">
                  <c:v>0.24641897876590041</c:v>
                </c:pt>
                <c:pt idx="11">
                  <c:v>0.44595795698028129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A-4E53-8FD1-5BA00C4C87A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Sheet5!$T$98:$T$121</c:f>
              <c:numCache>
                <c:formatCode>General</c:formatCode>
                <c:ptCount val="12"/>
                <c:pt idx="0">
                  <c:v>0.35102839422330351</c:v>
                </c:pt>
                <c:pt idx="1">
                  <c:v>0.3701863680954548</c:v>
                </c:pt>
                <c:pt idx="2">
                  <c:v>0.39239881106037927</c:v>
                </c:pt>
                <c:pt idx="3">
                  <c:v>0.36245061096261971</c:v>
                </c:pt>
                <c:pt idx="4">
                  <c:v>0.36780021563693999</c:v>
                </c:pt>
                <c:pt idx="5">
                  <c:v>0.26298299513909568</c:v>
                </c:pt>
                <c:pt idx="6">
                  <c:v>0.34765921774341624</c:v>
                </c:pt>
                <c:pt idx="7">
                  <c:v>0.41033884306961405</c:v>
                </c:pt>
                <c:pt idx="8">
                  <c:v>0.24052281146746129</c:v>
                </c:pt>
                <c:pt idx="9">
                  <c:v>0.40464889438400137</c:v>
                </c:pt>
                <c:pt idx="10">
                  <c:v>0.22010433477933194</c:v>
                </c:pt>
                <c:pt idx="11">
                  <c:v>0.39655430307941902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A-4E53-8FD1-5BA00C4C87A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Sheet5!$U$98:$U$121</c:f>
              <c:numCache>
                <c:formatCode>General</c:formatCode>
                <c:ptCount val="12"/>
                <c:pt idx="0">
                  <c:v>0.38337789494985169</c:v>
                </c:pt>
                <c:pt idx="1">
                  <c:v>0.39605187360326888</c:v>
                </c:pt>
                <c:pt idx="2">
                  <c:v>0.38799545277382957</c:v>
                </c:pt>
                <c:pt idx="3">
                  <c:v>0.24250230138271139</c:v>
                </c:pt>
                <c:pt idx="4">
                  <c:v>0.40192422425051799</c:v>
                </c:pt>
                <c:pt idx="5">
                  <c:v>0.14469017003905366</c:v>
                </c:pt>
                <c:pt idx="6">
                  <c:v>0.46901697721609298</c:v>
                </c:pt>
                <c:pt idx="7">
                  <c:v>0.3762889572335758</c:v>
                </c:pt>
                <c:pt idx="8">
                  <c:v>0.20823174650447848</c:v>
                </c:pt>
                <c:pt idx="9">
                  <c:v>0.46886062745439144</c:v>
                </c:pt>
                <c:pt idx="10">
                  <c:v>0.23105080006049405</c:v>
                </c:pt>
                <c:pt idx="11">
                  <c:v>0.41636579553852043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8A-4E53-8FD1-5BA00C4C87A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Sheet5!$V$98:$V$121</c:f>
              <c:numCache>
                <c:formatCode>General</c:formatCode>
                <c:ptCount val="12"/>
                <c:pt idx="0">
                  <c:v>0.42582347160152606</c:v>
                </c:pt>
                <c:pt idx="1">
                  <c:v>0.54876991727958091</c:v>
                </c:pt>
                <c:pt idx="2">
                  <c:v>0.61616778325389487</c:v>
                </c:pt>
                <c:pt idx="3">
                  <c:v>0.57095499759270218</c:v>
                </c:pt>
                <c:pt idx="4">
                  <c:v>0.61991243077436897</c:v>
                </c:pt>
                <c:pt idx="5">
                  <c:v>0.42392174602419846</c:v>
                </c:pt>
                <c:pt idx="6">
                  <c:v>0.61014876602467694</c:v>
                </c:pt>
                <c:pt idx="7">
                  <c:v>0.48395499887132276</c:v>
                </c:pt>
                <c:pt idx="8">
                  <c:v>0.64759730211933142</c:v>
                </c:pt>
                <c:pt idx="9">
                  <c:v>0.56051504678812791</c:v>
                </c:pt>
                <c:pt idx="10">
                  <c:v>0.40920016636819107</c:v>
                </c:pt>
                <c:pt idx="11">
                  <c:v>0.49108141162020719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8A-4E53-8FD1-5BA00C4C87A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Sheet5!$W$98:$W$121</c:f>
              <c:numCache>
                <c:formatCode>General</c:formatCode>
                <c:ptCount val="12"/>
                <c:pt idx="0">
                  <c:v>0.35334037178732891</c:v>
                </c:pt>
                <c:pt idx="1">
                  <c:v>0.36123042569142799</c:v>
                </c:pt>
                <c:pt idx="2">
                  <c:v>0.39556742512307191</c:v>
                </c:pt>
                <c:pt idx="3">
                  <c:v>0.35432600771500927</c:v>
                </c:pt>
                <c:pt idx="4">
                  <c:v>0.37802309665062456</c:v>
                </c:pt>
                <c:pt idx="5">
                  <c:v>0.24185377532546362</c:v>
                </c:pt>
                <c:pt idx="6">
                  <c:v>0.38890288797635059</c:v>
                </c:pt>
                <c:pt idx="7">
                  <c:v>0.42089645455097574</c:v>
                </c:pt>
                <c:pt idx="8">
                  <c:v>0.24533736046902851</c:v>
                </c:pt>
                <c:pt idx="9">
                  <c:v>0.4057210497217596</c:v>
                </c:pt>
                <c:pt idx="10">
                  <c:v>0.22010433477933194</c:v>
                </c:pt>
                <c:pt idx="11">
                  <c:v>0.41148728343679042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8A-4E53-8FD1-5BA00C4C87A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Sheet5!$X$98:$X$121</c:f>
              <c:numCache>
                <c:formatCode>General</c:formatCode>
                <c:ptCount val="12"/>
                <c:pt idx="0">
                  <c:v>0.31675424062112223</c:v>
                </c:pt>
                <c:pt idx="1">
                  <c:v>0.3670182448582277</c:v>
                </c:pt>
                <c:pt idx="2">
                  <c:v>0.38165660630747472</c:v>
                </c:pt>
                <c:pt idx="3">
                  <c:v>0.3083642714594339</c:v>
                </c:pt>
                <c:pt idx="4">
                  <c:v>0.36972477901430684</c:v>
                </c:pt>
                <c:pt idx="5">
                  <c:v>0.2097060405177619</c:v>
                </c:pt>
                <c:pt idx="6">
                  <c:v>0.34862679184446599</c:v>
                </c:pt>
                <c:pt idx="7">
                  <c:v>0.34168156136669198</c:v>
                </c:pt>
                <c:pt idx="8">
                  <c:v>0.22721851972488238</c:v>
                </c:pt>
                <c:pt idx="9">
                  <c:v>0.36146282758914766</c:v>
                </c:pt>
                <c:pt idx="10">
                  <c:v>0.18590158754794225</c:v>
                </c:pt>
                <c:pt idx="11">
                  <c:v>0.40386226284742271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A-4E53-8FD1-5BA00C4C8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61007"/>
        <c:axId val="1264347759"/>
      </c:lineChart>
      <c:catAx>
        <c:axId val="11746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347759"/>
        <c:crosses val="autoZero"/>
        <c:auto val="1"/>
        <c:lblAlgn val="ctr"/>
        <c:lblOffset val="100"/>
        <c:noMultiLvlLbl val="0"/>
      </c:catAx>
      <c:valAx>
        <c:axId val="12643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6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Sheet5!$S$48:$S$71</c:f>
              <c:numCache>
                <c:formatCode>General</c:formatCode>
                <c:ptCount val="12"/>
                <c:pt idx="0">
                  <c:v>0.43604734694568825</c:v>
                </c:pt>
                <c:pt idx="1">
                  <c:v>0.35186448502528644</c:v>
                </c:pt>
                <c:pt idx="2">
                  <c:v>0.43304000893576905</c:v>
                </c:pt>
                <c:pt idx="3">
                  <c:v>0.29614567518231433</c:v>
                </c:pt>
                <c:pt idx="4">
                  <c:v>0.35062587286995395</c:v>
                </c:pt>
                <c:pt idx="5">
                  <c:v>8.1359634010181411E-2</c:v>
                </c:pt>
                <c:pt idx="6">
                  <c:v>0.35852607029878741</c:v>
                </c:pt>
                <c:pt idx="7">
                  <c:v>0.39278193017534507</c:v>
                </c:pt>
                <c:pt idx="8">
                  <c:v>0.33250764809352645</c:v>
                </c:pt>
                <c:pt idx="9">
                  <c:v>0.38833970174555338</c:v>
                </c:pt>
                <c:pt idx="10">
                  <c:v>0.1784589479777578</c:v>
                </c:pt>
                <c:pt idx="11">
                  <c:v>0.36932077394304358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D85-4D18-A80E-08A4B7DBAA6B}"/>
            </c:ext>
          </c:extLst>
        </c:ser>
        <c:ser>
          <c:idx val="7"/>
          <c:order val="1"/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Sheet5!$T$48:$T$71</c:f>
              <c:numCache>
                <c:formatCode>General</c:formatCode>
                <c:ptCount val="12"/>
                <c:pt idx="0">
                  <c:v>0.40522016763084945</c:v>
                </c:pt>
                <c:pt idx="1">
                  <c:v>0.36535170773986886</c:v>
                </c:pt>
                <c:pt idx="2">
                  <c:v>0.43031898342821961</c:v>
                </c:pt>
                <c:pt idx="3">
                  <c:v>0.30359132989239823</c:v>
                </c:pt>
                <c:pt idx="4">
                  <c:v>0.3604995989867259</c:v>
                </c:pt>
                <c:pt idx="5">
                  <c:v>8.4250055438549618E-2</c:v>
                </c:pt>
                <c:pt idx="6">
                  <c:v>0.35852607029878741</c:v>
                </c:pt>
                <c:pt idx="7">
                  <c:v>0.40552221182543308</c:v>
                </c:pt>
                <c:pt idx="8">
                  <c:v>0.33250764809352645</c:v>
                </c:pt>
                <c:pt idx="9">
                  <c:v>0.37666975815017595</c:v>
                </c:pt>
                <c:pt idx="10">
                  <c:v>0.1784589479777578</c:v>
                </c:pt>
                <c:pt idx="11">
                  <c:v>0.39292210265768579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FD85-4D18-A80E-08A4B7DBAA6B}"/>
            </c:ext>
          </c:extLst>
        </c:ser>
        <c:ser>
          <c:idx val="8"/>
          <c:order val="2"/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Sheet5!$U$48:$U$71</c:f>
              <c:numCache>
                <c:formatCode>General</c:formatCode>
                <c:ptCount val="12"/>
                <c:pt idx="0">
                  <c:v>0.36987834044858098</c:v>
                </c:pt>
                <c:pt idx="1">
                  <c:v>0.33752249974143822</c:v>
                </c:pt>
                <c:pt idx="2">
                  <c:v>0.35067942468889479</c:v>
                </c:pt>
                <c:pt idx="3">
                  <c:v>0.15584319954964765</c:v>
                </c:pt>
                <c:pt idx="4">
                  <c:v>0.24554871862308619</c:v>
                </c:pt>
                <c:pt idx="5">
                  <c:v>0.12088588575088556</c:v>
                </c:pt>
                <c:pt idx="6">
                  <c:v>0.42395763962270111</c:v>
                </c:pt>
                <c:pt idx="7">
                  <c:v>0.41142433347368107</c:v>
                </c:pt>
                <c:pt idx="8">
                  <c:v>0.10589758116057335</c:v>
                </c:pt>
                <c:pt idx="9">
                  <c:v>0.33007078134131346</c:v>
                </c:pt>
                <c:pt idx="10">
                  <c:v>0.14757051322307504</c:v>
                </c:pt>
                <c:pt idx="11">
                  <c:v>0.32360108118363484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D85-4D18-A80E-08A4B7DBAA6B}"/>
            </c:ext>
          </c:extLst>
        </c:ser>
        <c:ser>
          <c:idx val="9"/>
          <c:order val="3"/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Sheet5!$V$48:$V$71</c:f>
              <c:numCache>
                <c:formatCode>General</c:formatCode>
                <c:ptCount val="12"/>
                <c:pt idx="0">
                  <c:v>0.3401879381658614</c:v>
                </c:pt>
                <c:pt idx="1">
                  <c:v>0.41968317266568245</c:v>
                </c:pt>
                <c:pt idx="2">
                  <c:v>0.42105836056544671</c:v>
                </c:pt>
                <c:pt idx="3">
                  <c:v>0.25731545936441297</c:v>
                </c:pt>
                <c:pt idx="4">
                  <c:v>0.26614449385230599</c:v>
                </c:pt>
                <c:pt idx="5">
                  <c:v>0.1780229400881759</c:v>
                </c:pt>
                <c:pt idx="6">
                  <c:v>0.38838301687237115</c:v>
                </c:pt>
                <c:pt idx="7">
                  <c:v>0.37664208616760259</c:v>
                </c:pt>
                <c:pt idx="8">
                  <c:v>0.2417275840095757</c:v>
                </c:pt>
                <c:pt idx="9">
                  <c:v>0.44441732424079561</c:v>
                </c:pt>
                <c:pt idx="10">
                  <c:v>0.20650790758166301</c:v>
                </c:pt>
                <c:pt idx="11">
                  <c:v>0.41632411742299469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FD85-4D18-A80E-08A4B7DBAA6B}"/>
            </c:ext>
          </c:extLst>
        </c:ser>
        <c:ser>
          <c:idx val="10"/>
          <c:order val="4"/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Sheet5!$W$48:$W$71</c:f>
              <c:numCache>
                <c:formatCode>General</c:formatCode>
                <c:ptCount val="12"/>
                <c:pt idx="0">
                  <c:v>0.4205499127871456</c:v>
                </c:pt>
                <c:pt idx="1">
                  <c:v>0.32353073119759174</c:v>
                </c:pt>
                <c:pt idx="2">
                  <c:v>0.42872359255471049</c:v>
                </c:pt>
                <c:pt idx="3">
                  <c:v>0.20837761060734625</c:v>
                </c:pt>
                <c:pt idx="4">
                  <c:v>0.29377706900060996</c:v>
                </c:pt>
                <c:pt idx="5">
                  <c:v>0.11219097544091687</c:v>
                </c:pt>
                <c:pt idx="6">
                  <c:v>0.41739254949112936</c:v>
                </c:pt>
                <c:pt idx="7">
                  <c:v>0.41030512817807163</c:v>
                </c:pt>
                <c:pt idx="8">
                  <c:v>0.33970891771134581</c:v>
                </c:pt>
                <c:pt idx="9">
                  <c:v>0.38760310680047927</c:v>
                </c:pt>
                <c:pt idx="10">
                  <c:v>0.21734354192066854</c:v>
                </c:pt>
                <c:pt idx="11">
                  <c:v>0.37245439827531279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D85-4D18-A80E-08A4B7DBAA6B}"/>
            </c:ext>
          </c:extLst>
        </c:ser>
        <c:ser>
          <c:idx val="11"/>
          <c:order val="5"/>
          <c:marker>
            <c:symbol val="none"/>
          </c:marker>
          <c:cat>
            <c:numRef>
              <c:f>Sheet5!$D$48:$D$71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Sheet5!$X$48:$X$71</c:f>
              <c:numCache>
                <c:formatCode>General</c:formatCode>
                <c:ptCount val="12"/>
                <c:pt idx="0">
                  <c:v>0.31580358233553879</c:v>
                </c:pt>
                <c:pt idx="1">
                  <c:v>0.29933453074205624</c:v>
                </c:pt>
                <c:pt idx="2">
                  <c:v>0.39142137261923798</c:v>
                </c:pt>
                <c:pt idx="3">
                  <c:v>0.30222458766685933</c:v>
                </c:pt>
                <c:pt idx="4">
                  <c:v>0.35334328750013938</c:v>
                </c:pt>
                <c:pt idx="5">
                  <c:v>0.14511388546976597</c:v>
                </c:pt>
                <c:pt idx="6">
                  <c:v>0.31713195732885441</c:v>
                </c:pt>
                <c:pt idx="7">
                  <c:v>0.36053874331612973</c:v>
                </c:pt>
                <c:pt idx="8">
                  <c:v>0.21463365736601661</c:v>
                </c:pt>
                <c:pt idx="9">
                  <c:v>0.34910344520590214</c:v>
                </c:pt>
                <c:pt idx="10">
                  <c:v>0.21637123155756302</c:v>
                </c:pt>
                <c:pt idx="11">
                  <c:v>0.39946969393521431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FD85-4D18-A80E-08A4B7DBAA6B}"/>
            </c:ext>
          </c:extLst>
        </c:ser>
        <c:ser>
          <c:idx val="0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Sheet5!$S$98:$S$121</c:f>
              <c:numCache>
                <c:formatCode>General</c:formatCode>
                <c:ptCount val="12"/>
                <c:pt idx="0">
                  <c:v>0.37066589347359574</c:v>
                </c:pt>
                <c:pt idx="1">
                  <c:v>0.40338989354240801</c:v>
                </c:pt>
                <c:pt idx="2">
                  <c:v>0.40491435787685037</c:v>
                </c:pt>
                <c:pt idx="3">
                  <c:v>0.26214922965213167</c:v>
                </c:pt>
                <c:pt idx="4">
                  <c:v>0.39763891143664032</c:v>
                </c:pt>
                <c:pt idx="5">
                  <c:v>0.14469017003905366</c:v>
                </c:pt>
                <c:pt idx="6">
                  <c:v>0.45916180290550357</c:v>
                </c:pt>
                <c:pt idx="7">
                  <c:v>0.37240651386257284</c:v>
                </c:pt>
                <c:pt idx="8">
                  <c:v>0.20823174650447848</c:v>
                </c:pt>
                <c:pt idx="9">
                  <c:v>0.45798286548637523</c:v>
                </c:pt>
                <c:pt idx="10">
                  <c:v>0.24641897876590041</c:v>
                </c:pt>
                <c:pt idx="11">
                  <c:v>0.44595795698028129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FD85-4D18-A80E-08A4B7DBAA6B}"/>
            </c:ext>
          </c:extLst>
        </c:ser>
        <c:ser>
          <c:idx val="1"/>
          <c:order val="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Sheet5!$T$98:$T$121</c:f>
              <c:numCache>
                <c:formatCode>General</c:formatCode>
                <c:ptCount val="12"/>
                <c:pt idx="0">
                  <c:v>0.35102839422330351</c:v>
                </c:pt>
                <c:pt idx="1">
                  <c:v>0.3701863680954548</c:v>
                </c:pt>
                <c:pt idx="2">
                  <c:v>0.39239881106037927</c:v>
                </c:pt>
                <c:pt idx="3">
                  <c:v>0.36245061096261971</c:v>
                </c:pt>
                <c:pt idx="4">
                  <c:v>0.36780021563693999</c:v>
                </c:pt>
                <c:pt idx="5">
                  <c:v>0.26298299513909568</c:v>
                </c:pt>
                <c:pt idx="6">
                  <c:v>0.34765921774341624</c:v>
                </c:pt>
                <c:pt idx="7">
                  <c:v>0.41033884306961405</c:v>
                </c:pt>
                <c:pt idx="8">
                  <c:v>0.24052281146746129</c:v>
                </c:pt>
                <c:pt idx="9">
                  <c:v>0.40464889438400137</c:v>
                </c:pt>
                <c:pt idx="10">
                  <c:v>0.22010433477933194</c:v>
                </c:pt>
                <c:pt idx="11">
                  <c:v>0.39655430307941902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FD85-4D18-A80E-08A4B7DBAA6B}"/>
            </c:ext>
          </c:extLst>
        </c:ser>
        <c:ser>
          <c:idx val="2"/>
          <c:order val="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Sheet5!$U$98:$U$121</c:f>
              <c:numCache>
                <c:formatCode>General</c:formatCode>
                <c:ptCount val="12"/>
                <c:pt idx="0">
                  <c:v>0.38337789494985169</c:v>
                </c:pt>
                <c:pt idx="1">
                  <c:v>0.39605187360326888</c:v>
                </c:pt>
                <c:pt idx="2">
                  <c:v>0.38799545277382957</c:v>
                </c:pt>
                <c:pt idx="3">
                  <c:v>0.24250230138271139</c:v>
                </c:pt>
                <c:pt idx="4">
                  <c:v>0.40192422425051799</c:v>
                </c:pt>
                <c:pt idx="5">
                  <c:v>0.14469017003905366</c:v>
                </c:pt>
                <c:pt idx="6">
                  <c:v>0.46901697721609298</c:v>
                </c:pt>
                <c:pt idx="7">
                  <c:v>0.3762889572335758</c:v>
                </c:pt>
                <c:pt idx="8">
                  <c:v>0.20823174650447848</c:v>
                </c:pt>
                <c:pt idx="9">
                  <c:v>0.46886062745439144</c:v>
                </c:pt>
                <c:pt idx="10">
                  <c:v>0.23105080006049405</c:v>
                </c:pt>
                <c:pt idx="11">
                  <c:v>0.41636579553852043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FD85-4D18-A80E-08A4B7DBAA6B}"/>
            </c:ext>
          </c:extLst>
        </c:ser>
        <c:ser>
          <c:idx val="3"/>
          <c:order val="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Sheet5!$V$98:$V$121</c:f>
              <c:numCache>
                <c:formatCode>General</c:formatCode>
                <c:ptCount val="12"/>
                <c:pt idx="0">
                  <c:v>0.42582347160152606</c:v>
                </c:pt>
                <c:pt idx="1">
                  <c:v>0.54876991727958091</c:v>
                </c:pt>
                <c:pt idx="2">
                  <c:v>0.61616778325389487</c:v>
                </c:pt>
                <c:pt idx="3">
                  <c:v>0.57095499759270218</c:v>
                </c:pt>
                <c:pt idx="4">
                  <c:v>0.61991243077436897</c:v>
                </c:pt>
                <c:pt idx="5">
                  <c:v>0.42392174602419846</c:v>
                </c:pt>
                <c:pt idx="6">
                  <c:v>0.61014876602467694</c:v>
                </c:pt>
                <c:pt idx="7">
                  <c:v>0.48395499887132276</c:v>
                </c:pt>
                <c:pt idx="8">
                  <c:v>0.64759730211933142</c:v>
                </c:pt>
                <c:pt idx="9">
                  <c:v>0.56051504678812791</c:v>
                </c:pt>
                <c:pt idx="10">
                  <c:v>0.40920016636819107</c:v>
                </c:pt>
                <c:pt idx="11">
                  <c:v>0.49108141162020719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FD85-4D18-A80E-08A4B7DBAA6B}"/>
            </c:ext>
          </c:extLst>
        </c:ser>
        <c:ser>
          <c:idx val="4"/>
          <c:order val="1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Sheet5!$W$98:$W$121</c:f>
              <c:numCache>
                <c:formatCode>General</c:formatCode>
                <c:ptCount val="12"/>
                <c:pt idx="0">
                  <c:v>0.35334037178732891</c:v>
                </c:pt>
                <c:pt idx="1">
                  <c:v>0.36123042569142799</c:v>
                </c:pt>
                <c:pt idx="2">
                  <c:v>0.39556742512307191</c:v>
                </c:pt>
                <c:pt idx="3">
                  <c:v>0.35432600771500927</c:v>
                </c:pt>
                <c:pt idx="4">
                  <c:v>0.37802309665062456</c:v>
                </c:pt>
                <c:pt idx="5">
                  <c:v>0.24185377532546362</c:v>
                </c:pt>
                <c:pt idx="6">
                  <c:v>0.38890288797635059</c:v>
                </c:pt>
                <c:pt idx="7">
                  <c:v>0.42089645455097574</c:v>
                </c:pt>
                <c:pt idx="8">
                  <c:v>0.24533736046902851</c:v>
                </c:pt>
                <c:pt idx="9">
                  <c:v>0.4057210497217596</c:v>
                </c:pt>
                <c:pt idx="10">
                  <c:v>0.22010433477933194</c:v>
                </c:pt>
                <c:pt idx="11">
                  <c:v>0.41148728343679042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D85-4D18-A80E-08A4B7DBAA6B}"/>
            </c:ext>
          </c:extLst>
        </c:ser>
        <c:ser>
          <c:idx val="5"/>
          <c:order val="1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Sheet5!$D$98:$D$121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Sheet5!$X$98:$X$121</c:f>
              <c:numCache>
                <c:formatCode>General</c:formatCode>
                <c:ptCount val="12"/>
                <c:pt idx="0">
                  <c:v>0.31675424062112223</c:v>
                </c:pt>
                <c:pt idx="1">
                  <c:v>0.3670182448582277</c:v>
                </c:pt>
                <c:pt idx="2">
                  <c:v>0.38165660630747472</c:v>
                </c:pt>
                <c:pt idx="3">
                  <c:v>0.3083642714594339</c:v>
                </c:pt>
                <c:pt idx="4">
                  <c:v>0.36972477901430684</c:v>
                </c:pt>
                <c:pt idx="5">
                  <c:v>0.2097060405177619</c:v>
                </c:pt>
                <c:pt idx="6">
                  <c:v>0.34862679184446599</c:v>
                </c:pt>
                <c:pt idx="7">
                  <c:v>0.34168156136669198</c:v>
                </c:pt>
                <c:pt idx="8">
                  <c:v>0.22721851972488238</c:v>
                </c:pt>
                <c:pt idx="9">
                  <c:v>0.36146282758914766</c:v>
                </c:pt>
                <c:pt idx="10">
                  <c:v>0.18590158754794225</c:v>
                </c:pt>
                <c:pt idx="11">
                  <c:v>0.40386226284742271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FD85-4D18-A80E-08A4B7DB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61007"/>
        <c:axId val="1264347759"/>
      </c:lineChart>
      <c:catAx>
        <c:axId val="11746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347759"/>
        <c:crosses val="autoZero"/>
        <c:auto val="1"/>
        <c:lblAlgn val="ctr"/>
        <c:lblOffset val="100"/>
        <c:noMultiLvlLbl val="0"/>
      </c:catAx>
      <c:valAx>
        <c:axId val="12643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66100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Sheet5!$B$180</c:f>
              <c:strCache>
                <c:ptCount val="1"/>
                <c:pt idx="0">
                  <c:v>corr with whole 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Sheet5!$A$181:$A$192</c:f>
              <c:strCache>
                <c:ptCount val="12"/>
                <c:pt idx="0">
                  <c:v>Aα1-A1</c:v>
                </c:pt>
                <c:pt idx="1">
                  <c:v>A1-A2</c:v>
                </c:pt>
                <c:pt idx="2">
                  <c:v>A2-A3</c:v>
                </c:pt>
                <c:pt idx="3">
                  <c:v>A3-A4</c:v>
                </c:pt>
                <c:pt idx="4">
                  <c:v>A4-A5</c:v>
                </c:pt>
                <c:pt idx="5">
                  <c:v>A5-G</c:v>
                </c:pt>
                <c:pt idx="6">
                  <c:v>G-A6</c:v>
                </c:pt>
                <c:pt idx="7">
                  <c:v>A6-A7</c:v>
                </c:pt>
                <c:pt idx="8">
                  <c:v>A7-A8</c:v>
                </c:pt>
                <c:pt idx="9">
                  <c:v>A8-A9</c:v>
                </c:pt>
                <c:pt idx="10">
                  <c:v>A9-A10</c:v>
                </c:pt>
                <c:pt idx="11">
                  <c:v>A10-T1</c:v>
                </c:pt>
              </c:strCache>
            </c:strRef>
          </c:xVal>
          <c:yVal>
            <c:numRef>
              <c:f>Sheet5!$B$181:$B$192</c:f>
              <c:numCache>
                <c:formatCode>General</c:formatCode>
                <c:ptCount val="12"/>
                <c:pt idx="0">
                  <c:v>0.41618055307767099</c:v>
                </c:pt>
                <c:pt idx="1">
                  <c:v>0.80687513234807096</c:v>
                </c:pt>
                <c:pt idx="2">
                  <c:v>0.83925343205895597</c:v>
                </c:pt>
                <c:pt idx="3">
                  <c:v>0.76498687496645101</c:v>
                </c:pt>
                <c:pt idx="4">
                  <c:v>0.82144584266448295</c:v>
                </c:pt>
                <c:pt idx="5">
                  <c:v>0.79762452957574603</c:v>
                </c:pt>
                <c:pt idx="6">
                  <c:v>0.56886597206211398</c:v>
                </c:pt>
                <c:pt idx="7">
                  <c:v>0.86148462450431695</c:v>
                </c:pt>
                <c:pt idx="8">
                  <c:v>0.63957865510577405</c:v>
                </c:pt>
                <c:pt idx="9">
                  <c:v>0.91694365137983602</c:v>
                </c:pt>
                <c:pt idx="10">
                  <c:v>0.79968868270188398</c:v>
                </c:pt>
                <c:pt idx="11">
                  <c:v>0.73528839311349703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B-424B-96EA-2F0B1D38DC74}"/>
            </c:ext>
          </c:extLst>
        </c:ser>
        <c:ser>
          <c:idx val="1"/>
          <c:order val="1"/>
          <c:tx>
            <c:strRef>
              <c:f>Sheet5!$C$180</c:f>
              <c:strCache>
                <c:ptCount val="1"/>
                <c:pt idx="0">
                  <c:v>corr with F codes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Sheet5!$A$181:$A$192</c:f>
              <c:strCache>
                <c:ptCount val="12"/>
                <c:pt idx="0">
                  <c:v>Aα1-A1</c:v>
                </c:pt>
                <c:pt idx="1">
                  <c:v>A1-A2</c:v>
                </c:pt>
                <c:pt idx="2">
                  <c:v>A2-A3</c:v>
                </c:pt>
                <c:pt idx="3">
                  <c:v>A3-A4</c:v>
                </c:pt>
                <c:pt idx="4">
                  <c:v>A4-A5</c:v>
                </c:pt>
                <c:pt idx="5">
                  <c:v>A5-G</c:v>
                </c:pt>
                <c:pt idx="6">
                  <c:v>G-A6</c:v>
                </c:pt>
                <c:pt idx="7">
                  <c:v>A6-A7</c:v>
                </c:pt>
                <c:pt idx="8">
                  <c:v>A7-A8</c:v>
                </c:pt>
                <c:pt idx="9">
                  <c:v>A8-A9</c:v>
                </c:pt>
                <c:pt idx="10">
                  <c:v>A9-A10</c:v>
                </c:pt>
                <c:pt idx="11">
                  <c:v>A10-T1</c:v>
                </c:pt>
              </c:strCache>
            </c:strRef>
          </c:xVal>
          <c:yVal>
            <c:numRef>
              <c:f>Sheet5!$C$181:$C$192</c:f>
              <c:numCache>
                <c:formatCode>General</c:formatCode>
                <c:ptCount val="12"/>
                <c:pt idx="0">
                  <c:v>0.35391699590589099</c:v>
                </c:pt>
                <c:pt idx="1">
                  <c:v>0.72625037143612503</c:v>
                </c:pt>
                <c:pt idx="2">
                  <c:v>0.76259433268925203</c:v>
                </c:pt>
                <c:pt idx="3">
                  <c:v>0.80219154803507298</c:v>
                </c:pt>
                <c:pt idx="4">
                  <c:v>0.83250080911780799</c:v>
                </c:pt>
                <c:pt idx="5">
                  <c:v>0.79943749079589799</c:v>
                </c:pt>
                <c:pt idx="6">
                  <c:v>0.448131470174087</c:v>
                </c:pt>
                <c:pt idx="7">
                  <c:v>0.77864181643670705</c:v>
                </c:pt>
                <c:pt idx="8">
                  <c:v>0.546977248378686</c:v>
                </c:pt>
                <c:pt idx="9">
                  <c:v>0.674196244338649</c:v>
                </c:pt>
                <c:pt idx="10">
                  <c:v>0.59624823230066304</c:v>
                </c:pt>
                <c:pt idx="11">
                  <c:v>0.623827653812981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B-424B-96EA-2F0B1D38D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9952"/>
        <c:axId val="38400736"/>
      </c:scatterChart>
      <c:valAx>
        <c:axId val="12425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intermotif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400736"/>
        <c:crosses val="autoZero"/>
        <c:crossBetween val="midCat"/>
      </c:valAx>
      <c:valAx>
        <c:axId val="3840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correlation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25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Sheet13!$C$2:$C$25</c:f>
              <c:numCache>
                <c:formatCode>General</c:formatCode>
                <c:ptCount val="24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</c:numCache>
            </c:numRef>
          </c:xVal>
          <c:yVal>
            <c:numRef>
              <c:f>Sheet13!$K$2:$K$25</c:f>
              <c:numCache>
                <c:formatCode>General</c:formatCode>
                <c:ptCount val="24"/>
                <c:pt idx="0">
                  <c:v>0.96163145067871292</c:v>
                </c:pt>
                <c:pt idx="1">
                  <c:v>0.96545390567226497</c:v>
                </c:pt>
                <c:pt idx="2">
                  <c:v>0.65710572512579735</c:v>
                </c:pt>
                <c:pt idx="3">
                  <c:v>0.83086392575784074</c:v>
                </c:pt>
                <c:pt idx="4">
                  <c:v>0.89270227466440477</c:v>
                </c:pt>
                <c:pt idx="5">
                  <c:v>0.7282917968293281</c:v>
                </c:pt>
                <c:pt idx="6">
                  <c:v>0.87886506763240702</c:v>
                </c:pt>
                <c:pt idx="7">
                  <c:v>0.93073825979504543</c:v>
                </c:pt>
                <c:pt idx="8">
                  <c:v>1</c:v>
                </c:pt>
                <c:pt idx="9">
                  <c:v>0.86172318564893491</c:v>
                </c:pt>
                <c:pt idx="10">
                  <c:v>1</c:v>
                </c:pt>
                <c:pt idx="11">
                  <c:v>0.82393860796276019</c:v>
                </c:pt>
                <c:pt idx="12">
                  <c:v>0.77598215923467317</c:v>
                </c:pt>
                <c:pt idx="13">
                  <c:v>0.87569463167505468</c:v>
                </c:pt>
                <c:pt idx="14">
                  <c:v>0.89897833271236371</c:v>
                </c:pt>
                <c:pt idx="15">
                  <c:v>0.78135778214039475</c:v>
                </c:pt>
                <c:pt idx="16">
                  <c:v>1</c:v>
                </c:pt>
                <c:pt idx="17">
                  <c:v>0.88439053836321913</c:v>
                </c:pt>
                <c:pt idx="18">
                  <c:v>0.92384533656234502</c:v>
                </c:pt>
                <c:pt idx="19">
                  <c:v>0.72189821342938498</c:v>
                </c:pt>
                <c:pt idx="20">
                  <c:v>0.95962117115243295</c:v>
                </c:pt>
                <c:pt idx="21">
                  <c:v>0.78519714914423566</c:v>
                </c:pt>
                <c:pt idx="22">
                  <c:v>0.95122425499505758</c:v>
                </c:pt>
                <c:pt idx="23">
                  <c:v>0.70147620653817155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5-4E11-880E-9681B4F0E7D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Sheet13!$C$2:$C$25</c:f>
              <c:numCache>
                <c:formatCode>General</c:formatCode>
                <c:ptCount val="24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</c:numCache>
            </c:numRef>
          </c:xVal>
          <c:yVal>
            <c:numRef>
              <c:f>Sheet13!$U$2:$U$25</c:f>
              <c:numCache>
                <c:formatCode>General</c:formatCode>
                <c:ptCount val="24"/>
                <c:pt idx="0">
                  <c:v>0.17148608330038656</c:v>
                </c:pt>
                <c:pt idx="1">
                  <c:v>0.23623168963913538</c:v>
                </c:pt>
                <c:pt idx="2">
                  <c:v>0.41286478554975675</c:v>
                </c:pt>
                <c:pt idx="3">
                  <c:v>0.16970396494588033</c:v>
                </c:pt>
                <c:pt idx="4">
                  <c:v>0.13311450927796517</c:v>
                </c:pt>
                <c:pt idx="5">
                  <c:v>0.37550963162128947</c:v>
                </c:pt>
                <c:pt idx="6">
                  <c:v>0.1986344907408861</c:v>
                </c:pt>
                <c:pt idx="7">
                  <c:v>8.5497045760360102E-2</c:v>
                </c:pt>
                <c:pt idx="8">
                  <c:v>4.4444309019885053E-2</c:v>
                </c:pt>
                <c:pt idx="9">
                  <c:v>0.21523239801766084</c:v>
                </c:pt>
                <c:pt idx="10">
                  <c:v>0</c:v>
                </c:pt>
                <c:pt idx="11">
                  <c:v>3.8825430465206756E-2</c:v>
                </c:pt>
                <c:pt idx="12">
                  <c:v>2.2683247434100128E-2</c:v>
                </c:pt>
                <c:pt idx="13">
                  <c:v>0.24629765891482605</c:v>
                </c:pt>
                <c:pt idx="14">
                  <c:v>1.0873288257740829E-2</c:v>
                </c:pt>
                <c:pt idx="15">
                  <c:v>0.24842276113275238</c:v>
                </c:pt>
                <c:pt idx="16">
                  <c:v>8.0338272973001584E-2</c:v>
                </c:pt>
                <c:pt idx="17">
                  <c:v>0.17044989241931208</c:v>
                </c:pt>
                <c:pt idx="18">
                  <c:v>9.4836290846578436E-2</c:v>
                </c:pt>
                <c:pt idx="19">
                  <c:v>0.26778846839872755</c:v>
                </c:pt>
                <c:pt idx="20">
                  <c:v>6.7878730983263816E-2</c:v>
                </c:pt>
                <c:pt idx="21">
                  <c:v>0.14228510132947958</c:v>
                </c:pt>
                <c:pt idx="22">
                  <c:v>0.17816026444773703</c:v>
                </c:pt>
                <c:pt idx="23">
                  <c:v>0.3186613519094687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15-4E11-880E-9681B4F0E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66479"/>
        <c:axId val="1174981263"/>
      </c:scatterChart>
      <c:valAx>
        <c:axId val="12641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981263"/>
        <c:crosses val="autoZero"/>
        <c:crossBetween val="midCat"/>
      </c:valAx>
      <c:valAx>
        <c:axId val="11749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16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'Sheet5 (2)'!$D$2:$D$33</c:f>
              <c:numCache>
                <c:formatCode>General</c:formatCode>
                <c:ptCount val="30"/>
                <c:pt idx="0">
                  <c:v>4</c:v>
                </c:pt>
                <c:pt idx="1">
                  <c:v>41</c:v>
                </c:pt>
                <c:pt idx="2">
                  <c:v>51</c:v>
                </c:pt>
                <c:pt idx="3">
                  <c:v>58</c:v>
                </c:pt>
                <c:pt idx="4">
                  <c:v>64</c:v>
                </c:pt>
                <c:pt idx="5">
                  <c:v>87</c:v>
                </c:pt>
                <c:pt idx="6">
                  <c:v>101</c:v>
                </c:pt>
                <c:pt idx="7">
                  <c:v>104</c:v>
                </c:pt>
                <c:pt idx="8">
                  <c:v>105</c:v>
                </c:pt>
                <c:pt idx="9">
                  <c:v>119</c:v>
                </c:pt>
                <c:pt idx="10">
                  <c:v>122</c:v>
                </c:pt>
                <c:pt idx="11">
                  <c:v>129</c:v>
                </c:pt>
                <c:pt idx="12">
                  <c:v>132</c:v>
                </c:pt>
                <c:pt idx="13">
                  <c:v>201</c:v>
                </c:pt>
                <c:pt idx="14">
                  <c:v>242</c:v>
                </c:pt>
                <c:pt idx="15">
                  <c:v>248</c:v>
                </c:pt>
                <c:pt idx="16">
                  <c:v>268</c:v>
                </c:pt>
                <c:pt idx="17">
                  <c:v>329</c:v>
                </c:pt>
                <c:pt idx="18">
                  <c:v>364</c:v>
                </c:pt>
                <c:pt idx="19">
                  <c:v>375</c:v>
                </c:pt>
                <c:pt idx="20">
                  <c:v>398</c:v>
                </c:pt>
                <c:pt idx="21">
                  <c:v>437</c:v>
                </c:pt>
                <c:pt idx="22">
                  <c:v>444</c:v>
                </c:pt>
                <c:pt idx="23">
                  <c:v>487</c:v>
                </c:pt>
                <c:pt idx="24">
                  <c:v>490</c:v>
                </c:pt>
                <c:pt idx="25">
                  <c:v>498</c:v>
                </c:pt>
                <c:pt idx="26">
                  <c:v>504</c:v>
                </c:pt>
                <c:pt idx="27">
                  <c:v>533</c:v>
                </c:pt>
                <c:pt idx="28">
                  <c:v>538</c:v>
                </c:pt>
                <c:pt idx="29">
                  <c:v>565</c:v>
                </c:pt>
              </c:numCache>
            </c:numRef>
          </c:xVal>
          <c:yVal>
            <c:numRef>
              <c:f>'Sheet5 (2)'!$G$2:$G$33</c:f>
              <c:numCache>
                <c:formatCode>General</c:formatCode>
                <c:ptCount val="30"/>
                <c:pt idx="0">
                  <c:v>-3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-1</c:v>
                </c:pt>
                <c:pt idx="18">
                  <c:v>1</c:v>
                </c:pt>
                <c:pt idx="19">
                  <c:v>-2</c:v>
                </c:pt>
                <c:pt idx="20">
                  <c:v>1</c:v>
                </c:pt>
                <c:pt idx="21">
                  <c:v>0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-3</c:v>
                </c:pt>
                <c:pt idx="29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1-4EF5-94A0-639A5E7DB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33679"/>
        <c:axId val="1174984591"/>
      </c:scatterChart>
      <c:valAx>
        <c:axId val="58963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Location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984591"/>
        <c:crosses val="autoZero"/>
        <c:crossBetween val="midCat"/>
      </c:valAx>
      <c:valAx>
        <c:axId val="11749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BLOSUM62 score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963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'Sheet5 (2)'!$J$3:$J$25</c:f>
              <c:numCache>
                <c:formatCode>General</c:formatCode>
                <c:ptCount val="21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11.5</c:v>
                </c:pt>
                <c:pt idx="20">
                  <c:v>12.5</c:v>
                </c:pt>
              </c:numCache>
            </c:numRef>
          </c:cat>
          <c:val>
            <c:numRef>
              <c:f>'Sheet5 (2)'!$Q$3:$Q$25</c:f>
              <c:numCache>
                <c:formatCode>General</c:formatCode>
                <c:ptCount val="21"/>
                <c:pt idx="0">
                  <c:v>0.38424541200920909</c:v>
                </c:pt>
                <c:pt idx="2">
                  <c:v>0.35171170778324989</c:v>
                </c:pt>
                <c:pt idx="4">
                  <c:v>0.40987656151168511</c:v>
                </c:pt>
                <c:pt idx="6">
                  <c:v>0.25918143956273726</c:v>
                </c:pt>
                <c:pt idx="8">
                  <c:v>0.31364353227191416</c:v>
                </c:pt>
                <c:pt idx="10">
                  <c:v>0.12344594448465446</c:v>
                </c:pt>
                <c:pt idx="12">
                  <c:v>0.3809063722743945</c:v>
                </c:pt>
                <c:pt idx="14">
                  <c:v>0.39388709408575084</c:v>
                </c:pt>
                <c:pt idx="16">
                  <c:v>0.25767434268103295</c:v>
                </c:pt>
                <c:pt idx="18">
                  <c:v>0.38273339716101878</c:v>
                </c:pt>
                <c:pt idx="19">
                  <c:v>0.19496222366582827</c:v>
                </c:pt>
                <c:pt idx="20">
                  <c:v>0.38030552686226654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9-49BE-AF80-F6875FCF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099295"/>
        <c:axId val="1174985839"/>
      </c:lineChart>
      <c:catAx>
        <c:axId val="11890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985839"/>
        <c:crosses val="autoZero"/>
        <c:auto val="1"/>
        <c:lblAlgn val="ctr"/>
        <c:lblOffset val="100"/>
        <c:noMultiLvlLbl val="0"/>
      </c:catAx>
      <c:valAx>
        <c:axId val="11749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909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(2)'!$R$48:$R$71</c:f>
              <c:numCache>
                <c:formatCode>General</c:formatCode>
                <c:ptCount val="12"/>
                <c:pt idx="0">
                  <c:v>0.43604734694568825</c:v>
                </c:pt>
                <c:pt idx="1">
                  <c:v>0.35186448502528644</c:v>
                </c:pt>
                <c:pt idx="2">
                  <c:v>0.43304000893576905</c:v>
                </c:pt>
                <c:pt idx="3">
                  <c:v>0.29614567518231433</c:v>
                </c:pt>
                <c:pt idx="4">
                  <c:v>0.35062587286995395</c:v>
                </c:pt>
                <c:pt idx="5">
                  <c:v>8.1359634010181411E-2</c:v>
                </c:pt>
                <c:pt idx="6">
                  <c:v>0.35852607029878741</c:v>
                </c:pt>
                <c:pt idx="7">
                  <c:v>0.39278193017534507</c:v>
                </c:pt>
                <c:pt idx="8">
                  <c:v>0.33250764809352645</c:v>
                </c:pt>
                <c:pt idx="9">
                  <c:v>0.38833970174555338</c:v>
                </c:pt>
                <c:pt idx="10">
                  <c:v>0.1784589479777578</c:v>
                </c:pt>
                <c:pt idx="11">
                  <c:v>0.36932077394304358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0-4686-89DF-8744931E5C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(2)'!$S$48:$S$71</c:f>
              <c:numCache>
                <c:formatCode>General</c:formatCode>
                <c:ptCount val="12"/>
                <c:pt idx="0">
                  <c:v>0.40522016763084945</c:v>
                </c:pt>
                <c:pt idx="1">
                  <c:v>0.36535170773986886</c:v>
                </c:pt>
                <c:pt idx="2">
                  <c:v>0.43031898342821961</c:v>
                </c:pt>
                <c:pt idx="3">
                  <c:v>0.30359132989239823</c:v>
                </c:pt>
                <c:pt idx="4">
                  <c:v>0.3604995989867259</c:v>
                </c:pt>
                <c:pt idx="5">
                  <c:v>8.4250055438549618E-2</c:v>
                </c:pt>
                <c:pt idx="6">
                  <c:v>0.35852607029878741</c:v>
                </c:pt>
                <c:pt idx="7">
                  <c:v>0.40552221182543308</c:v>
                </c:pt>
                <c:pt idx="8">
                  <c:v>0.33250764809352645</c:v>
                </c:pt>
                <c:pt idx="9">
                  <c:v>0.37666975815017595</c:v>
                </c:pt>
                <c:pt idx="10">
                  <c:v>0.1784589479777578</c:v>
                </c:pt>
                <c:pt idx="11">
                  <c:v>0.39292210265768579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F0-4686-89DF-8744931E5C8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(2)'!$T$48:$T$71</c:f>
              <c:numCache>
                <c:formatCode>General</c:formatCode>
                <c:ptCount val="12"/>
                <c:pt idx="0">
                  <c:v>0.36987834044858098</c:v>
                </c:pt>
                <c:pt idx="1">
                  <c:v>0.33752249974143822</c:v>
                </c:pt>
                <c:pt idx="2">
                  <c:v>0.35067942468889479</c:v>
                </c:pt>
                <c:pt idx="3">
                  <c:v>0.15584319954964765</c:v>
                </c:pt>
                <c:pt idx="4">
                  <c:v>0.24554871862308619</c:v>
                </c:pt>
                <c:pt idx="5">
                  <c:v>0.12088588575088556</c:v>
                </c:pt>
                <c:pt idx="6">
                  <c:v>0.42395763962270111</c:v>
                </c:pt>
                <c:pt idx="7">
                  <c:v>0.41142433347368107</c:v>
                </c:pt>
                <c:pt idx="8">
                  <c:v>0.10589758116057335</c:v>
                </c:pt>
                <c:pt idx="9">
                  <c:v>0.33007078134131346</c:v>
                </c:pt>
                <c:pt idx="10">
                  <c:v>0.14757051322307504</c:v>
                </c:pt>
                <c:pt idx="11">
                  <c:v>0.32360108118363484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F0-4686-89DF-8744931E5C8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(2)'!$U$48:$U$71</c:f>
              <c:numCache>
                <c:formatCode>General</c:formatCode>
                <c:ptCount val="12"/>
                <c:pt idx="0">
                  <c:v>0.3401879381658614</c:v>
                </c:pt>
                <c:pt idx="1">
                  <c:v>0.41968317266568245</c:v>
                </c:pt>
                <c:pt idx="2">
                  <c:v>0.42105836056544671</c:v>
                </c:pt>
                <c:pt idx="3">
                  <c:v>0.25731545936441297</c:v>
                </c:pt>
                <c:pt idx="4">
                  <c:v>0.26614449385230599</c:v>
                </c:pt>
                <c:pt idx="5">
                  <c:v>0.1780229400881759</c:v>
                </c:pt>
                <c:pt idx="6">
                  <c:v>0.38838301687237115</c:v>
                </c:pt>
                <c:pt idx="7">
                  <c:v>0.37664208616760259</c:v>
                </c:pt>
                <c:pt idx="8">
                  <c:v>0.2417275840095757</c:v>
                </c:pt>
                <c:pt idx="9">
                  <c:v>0.44441732424079561</c:v>
                </c:pt>
                <c:pt idx="10">
                  <c:v>0.20650790758166301</c:v>
                </c:pt>
                <c:pt idx="11">
                  <c:v>0.41632411742299469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F0-4686-89DF-8744931E5C8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(2)'!$V$48:$V$71</c:f>
              <c:numCache>
                <c:formatCode>General</c:formatCode>
                <c:ptCount val="12"/>
                <c:pt idx="0">
                  <c:v>0.4205499127871456</c:v>
                </c:pt>
                <c:pt idx="1">
                  <c:v>0.32353073119759174</c:v>
                </c:pt>
                <c:pt idx="2">
                  <c:v>0.42872359255471049</c:v>
                </c:pt>
                <c:pt idx="3">
                  <c:v>0.20837761060734625</c:v>
                </c:pt>
                <c:pt idx="4">
                  <c:v>0.29377706900060996</c:v>
                </c:pt>
                <c:pt idx="5">
                  <c:v>0.11219097544091687</c:v>
                </c:pt>
                <c:pt idx="6">
                  <c:v>0.41739254949112936</c:v>
                </c:pt>
                <c:pt idx="7">
                  <c:v>0.41030512817807163</c:v>
                </c:pt>
                <c:pt idx="8">
                  <c:v>0.33970891771134581</c:v>
                </c:pt>
                <c:pt idx="9">
                  <c:v>0.38760310680047927</c:v>
                </c:pt>
                <c:pt idx="10">
                  <c:v>0.21734354192066854</c:v>
                </c:pt>
                <c:pt idx="11">
                  <c:v>0.37245439827531279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F0-4686-89DF-8744931E5C8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(2)'!$W$48:$W$71</c:f>
              <c:numCache>
                <c:formatCode>General</c:formatCode>
                <c:ptCount val="12"/>
                <c:pt idx="0">
                  <c:v>0.31580358233553879</c:v>
                </c:pt>
                <c:pt idx="1">
                  <c:v>0.29933453074205624</c:v>
                </c:pt>
                <c:pt idx="2">
                  <c:v>0.39142137261923798</c:v>
                </c:pt>
                <c:pt idx="3">
                  <c:v>0.30222458766685933</c:v>
                </c:pt>
                <c:pt idx="4">
                  <c:v>0.35334328750013938</c:v>
                </c:pt>
                <c:pt idx="5">
                  <c:v>0.14511388546976597</c:v>
                </c:pt>
                <c:pt idx="6">
                  <c:v>0.31713195732885441</c:v>
                </c:pt>
                <c:pt idx="7">
                  <c:v>0.36053874331612973</c:v>
                </c:pt>
                <c:pt idx="8">
                  <c:v>0.21463365736601661</c:v>
                </c:pt>
                <c:pt idx="9">
                  <c:v>0.34910344520590214</c:v>
                </c:pt>
                <c:pt idx="10">
                  <c:v>0.21637123155756302</c:v>
                </c:pt>
                <c:pt idx="11">
                  <c:v>0.39946969393521431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F0-4686-89DF-8744931E5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61007"/>
        <c:axId val="1264347759"/>
      </c:lineChart>
      <c:catAx>
        <c:axId val="11746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347759"/>
        <c:crosses val="autoZero"/>
        <c:auto val="1"/>
        <c:lblAlgn val="ctr"/>
        <c:lblOffset val="100"/>
        <c:noMultiLvlLbl val="0"/>
      </c:catAx>
      <c:valAx>
        <c:axId val="12643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6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2115704286964131E-2"/>
                  <c:y val="-0.16473170020414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'Sheet5 (2)'!$R$46:$W$46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'Sheet5 (2)'!$R$49:$W$49</c:f>
              <c:numCache>
                <c:formatCode>General</c:formatCode>
                <c:ptCount val="6"/>
                <c:pt idx="0">
                  <c:v>0.43604734694568825</c:v>
                </c:pt>
                <c:pt idx="1">
                  <c:v>0.40522016763084945</c:v>
                </c:pt>
                <c:pt idx="2">
                  <c:v>0.36987834044858098</c:v>
                </c:pt>
                <c:pt idx="3">
                  <c:v>0.3401879381658614</c:v>
                </c:pt>
                <c:pt idx="4">
                  <c:v>0.4205499127871456</c:v>
                </c:pt>
                <c:pt idx="5">
                  <c:v>0.31580358233553879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5-46DD-9B7F-85940275C5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671259842519686E-2"/>
                  <c:y val="-3.5921916010498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'Sheet5 (2)'!$R$46:$W$46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'Sheet5 (2)'!$R$51:$W$51</c:f>
              <c:numCache>
                <c:formatCode>General</c:formatCode>
                <c:ptCount val="6"/>
                <c:pt idx="0">
                  <c:v>0.35186448502528644</c:v>
                </c:pt>
                <c:pt idx="1">
                  <c:v>0.36535170773986886</c:v>
                </c:pt>
                <c:pt idx="2">
                  <c:v>0.33752249974143822</c:v>
                </c:pt>
                <c:pt idx="3">
                  <c:v>0.41968317266568245</c:v>
                </c:pt>
                <c:pt idx="4">
                  <c:v>0.32353073119759174</c:v>
                </c:pt>
                <c:pt idx="5">
                  <c:v>0.29933453074205624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B5-46DD-9B7F-85940275C55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560148731408575E-2"/>
                  <c:y val="7.15981335666375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'Sheet5 (2)'!$R$46:$W$46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'Sheet5 (2)'!$R$59:$W$59</c:f>
              <c:numCache>
                <c:formatCode>General</c:formatCode>
                <c:ptCount val="6"/>
                <c:pt idx="0">
                  <c:v>8.1359634010181411E-2</c:v>
                </c:pt>
                <c:pt idx="1">
                  <c:v>8.4250055438549618E-2</c:v>
                </c:pt>
                <c:pt idx="2">
                  <c:v>0.12088588575088556</c:v>
                </c:pt>
                <c:pt idx="3">
                  <c:v>0.1780229400881759</c:v>
                </c:pt>
                <c:pt idx="4">
                  <c:v>0.11219097544091687</c:v>
                </c:pt>
                <c:pt idx="5">
                  <c:v>0.14511388546976597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B5-46DD-9B7F-85940275C55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449037620297462E-2"/>
                  <c:y val="-2.61905803441236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'Sheet5 (2)'!$R$46:$W$46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0.5</c:v>
                </c:pt>
                <c:pt idx="2">
                  <c:v>0.54166666666666696</c:v>
                </c:pt>
                <c:pt idx="3">
                  <c:v>0.54545454545454497</c:v>
                </c:pt>
                <c:pt idx="4">
                  <c:v>0.60227272727272696</c:v>
                </c:pt>
                <c:pt idx="5">
                  <c:v>0.61363636363636398</c:v>
                </c:pt>
              </c:numCache>
            </c:numRef>
          </c:xVal>
          <c:yVal>
            <c:numRef>
              <c:f>'Sheet5 (2)'!$R$69:$W$69</c:f>
              <c:numCache>
                <c:formatCode>General</c:formatCode>
                <c:ptCount val="6"/>
                <c:pt idx="0">
                  <c:v>0.1784589479777578</c:v>
                </c:pt>
                <c:pt idx="1">
                  <c:v>0.1784589479777578</c:v>
                </c:pt>
                <c:pt idx="2">
                  <c:v>0.14757051322307504</c:v>
                </c:pt>
                <c:pt idx="3">
                  <c:v>0.20650790758166301</c:v>
                </c:pt>
                <c:pt idx="4">
                  <c:v>0.21734354192066854</c:v>
                </c:pt>
                <c:pt idx="5">
                  <c:v>0.21637123155756302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B5-46DD-9B7F-85940275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481439"/>
        <c:axId val="1253455215"/>
      </c:scatterChart>
      <c:valAx>
        <c:axId val="11874814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3455215"/>
        <c:crosses val="autoZero"/>
        <c:crossBetween val="midCat"/>
      </c:valAx>
      <c:valAx>
        <c:axId val="12534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48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(2)'!$R$98:$R$121</c:f>
              <c:numCache>
                <c:formatCode>General</c:formatCode>
                <c:ptCount val="12"/>
                <c:pt idx="0">
                  <c:v>0.37066589347359574</c:v>
                </c:pt>
                <c:pt idx="1">
                  <c:v>0.40338989354240801</c:v>
                </c:pt>
                <c:pt idx="2">
                  <c:v>0.40491435787685037</c:v>
                </c:pt>
                <c:pt idx="3">
                  <c:v>0.26214922965213167</c:v>
                </c:pt>
                <c:pt idx="4">
                  <c:v>0.39763891143664032</c:v>
                </c:pt>
                <c:pt idx="5">
                  <c:v>0.14469017003905366</c:v>
                </c:pt>
                <c:pt idx="6">
                  <c:v>0.45916180290550357</c:v>
                </c:pt>
                <c:pt idx="7">
                  <c:v>0.37240651386257284</c:v>
                </c:pt>
                <c:pt idx="8">
                  <c:v>0.20823174650447848</c:v>
                </c:pt>
                <c:pt idx="9">
                  <c:v>0.45798286548637523</c:v>
                </c:pt>
                <c:pt idx="10">
                  <c:v>0.24641897876590041</c:v>
                </c:pt>
                <c:pt idx="11">
                  <c:v>0.44595795698028129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D-4F79-9C8A-37B7EBC011F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(2)'!$S$98:$S$121</c:f>
              <c:numCache>
                <c:formatCode>General</c:formatCode>
                <c:ptCount val="12"/>
                <c:pt idx="0">
                  <c:v>0.35102839422330351</c:v>
                </c:pt>
                <c:pt idx="1">
                  <c:v>0.3701863680954548</c:v>
                </c:pt>
                <c:pt idx="2">
                  <c:v>0.39239881106037927</c:v>
                </c:pt>
                <c:pt idx="3">
                  <c:v>0.36245061096261971</c:v>
                </c:pt>
                <c:pt idx="4">
                  <c:v>0.36780021563693999</c:v>
                </c:pt>
                <c:pt idx="5">
                  <c:v>0.26298299513909568</c:v>
                </c:pt>
                <c:pt idx="6">
                  <c:v>0.34765921774341624</c:v>
                </c:pt>
                <c:pt idx="7">
                  <c:v>0.41033884306961405</c:v>
                </c:pt>
                <c:pt idx="8">
                  <c:v>0.24052281146746129</c:v>
                </c:pt>
                <c:pt idx="9">
                  <c:v>0.40464889438400137</c:v>
                </c:pt>
                <c:pt idx="10">
                  <c:v>0.22010433477933194</c:v>
                </c:pt>
                <c:pt idx="11">
                  <c:v>0.39655430307941902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D-4F79-9C8A-37B7EBC011F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(2)'!$T$98:$T$121</c:f>
              <c:numCache>
                <c:formatCode>General</c:formatCode>
                <c:ptCount val="12"/>
                <c:pt idx="0">
                  <c:v>0.38337789494985169</c:v>
                </c:pt>
                <c:pt idx="1">
                  <c:v>0.39605187360326888</c:v>
                </c:pt>
                <c:pt idx="2">
                  <c:v>0.38799545277382957</c:v>
                </c:pt>
                <c:pt idx="3">
                  <c:v>0.24250230138271139</c:v>
                </c:pt>
                <c:pt idx="4">
                  <c:v>0.40192422425051799</c:v>
                </c:pt>
                <c:pt idx="5">
                  <c:v>0.14469017003905366</c:v>
                </c:pt>
                <c:pt idx="6">
                  <c:v>0.46901697721609298</c:v>
                </c:pt>
                <c:pt idx="7">
                  <c:v>0.3762889572335758</c:v>
                </c:pt>
                <c:pt idx="8">
                  <c:v>0.20823174650447848</c:v>
                </c:pt>
                <c:pt idx="9">
                  <c:v>0.46886062745439144</c:v>
                </c:pt>
                <c:pt idx="10">
                  <c:v>0.23105080006049405</c:v>
                </c:pt>
                <c:pt idx="11">
                  <c:v>0.41636579553852043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D-4F79-9C8A-37B7EBC011F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(2)'!$U$98:$U$121</c:f>
              <c:numCache>
                <c:formatCode>General</c:formatCode>
                <c:ptCount val="12"/>
                <c:pt idx="0">
                  <c:v>0.42582347160152606</c:v>
                </c:pt>
                <c:pt idx="1">
                  <c:v>0.54876991727958091</c:v>
                </c:pt>
                <c:pt idx="2">
                  <c:v>0.61616778325389487</c:v>
                </c:pt>
                <c:pt idx="3">
                  <c:v>0.57095499759270218</c:v>
                </c:pt>
                <c:pt idx="4">
                  <c:v>0.61991243077436897</c:v>
                </c:pt>
                <c:pt idx="5">
                  <c:v>0.42392174602419846</c:v>
                </c:pt>
                <c:pt idx="6">
                  <c:v>0.61014876602467694</c:v>
                </c:pt>
                <c:pt idx="7">
                  <c:v>0.48395499887132276</c:v>
                </c:pt>
                <c:pt idx="8">
                  <c:v>0.64759730211933142</c:v>
                </c:pt>
                <c:pt idx="9">
                  <c:v>0.56051504678812791</c:v>
                </c:pt>
                <c:pt idx="10">
                  <c:v>0.40920016636819107</c:v>
                </c:pt>
                <c:pt idx="11">
                  <c:v>0.49108141162020719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3D-4F79-9C8A-37B7EBC011F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(2)'!$V$98:$V$121</c:f>
              <c:numCache>
                <c:formatCode>General</c:formatCode>
                <c:ptCount val="12"/>
                <c:pt idx="0">
                  <c:v>0.35334037178732891</c:v>
                </c:pt>
                <c:pt idx="1">
                  <c:v>0.36123042569142799</c:v>
                </c:pt>
                <c:pt idx="2">
                  <c:v>0.39556742512307191</c:v>
                </c:pt>
                <c:pt idx="3">
                  <c:v>0.35432600771500927</c:v>
                </c:pt>
                <c:pt idx="4">
                  <c:v>0.37802309665062456</c:v>
                </c:pt>
                <c:pt idx="5">
                  <c:v>0.24185377532546362</c:v>
                </c:pt>
                <c:pt idx="6">
                  <c:v>0.38890288797635059</c:v>
                </c:pt>
                <c:pt idx="7">
                  <c:v>0.42089645455097574</c:v>
                </c:pt>
                <c:pt idx="8">
                  <c:v>0.24533736046902851</c:v>
                </c:pt>
                <c:pt idx="9">
                  <c:v>0.4057210497217596</c:v>
                </c:pt>
                <c:pt idx="10">
                  <c:v>0.22010433477933194</c:v>
                </c:pt>
                <c:pt idx="11">
                  <c:v>0.41148728343679042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3D-4F79-9C8A-37B7EBC011F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(2)'!$W$98:$W$121</c:f>
              <c:numCache>
                <c:formatCode>General</c:formatCode>
                <c:ptCount val="12"/>
                <c:pt idx="0">
                  <c:v>0.31675424062112223</c:v>
                </c:pt>
                <c:pt idx="1">
                  <c:v>0.3670182448582277</c:v>
                </c:pt>
                <c:pt idx="2">
                  <c:v>0.38165660630747472</c:v>
                </c:pt>
                <c:pt idx="3">
                  <c:v>0.3083642714594339</c:v>
                </c:pt>
                <c:pt idx="4">
                  <c:v>0.36972477901430684</c:v>
                </c:pt>
                <c:pt idx="5">
                  <c:v>0.2097060405177619</c:v>
                </c:pt>
                <c:pt idx="6">
                  <c:v>0.34862679184446599</c:v>
                </c:pt>
                <c:pt idx="7">
                  <c:v>0.34168156136669198</c:v>
                </c:pt>
                <c:pt idx="8">
                  <c:v>0.22721851972488238</c:v>
                </c:pt>
                <c:pt idx="9">
                  <c:v>0.36146282758914766</c:v>
                </c:pt>
                <c:pt idx="10">
                  <c:v>0.18590158754794225</c:v>
                </c:pt>
                <c:pt idx="11">
                  <c:v>0.40386226284742271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3D-4F79-9C8A-37B7EBC01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61007"/>
        <c:axId val="1264347759"/>
      </c:lineChart>
      <c:catAx>
        <c:axId val="11746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347759"/>
        <c:crosses val="autoZero"/>
        <c:auto val="1"/>
        <c:lblAlgn val="ctr"/>
        <c:lblOffset val="100"/>
        <c:noMultiLvlLbl val="0"/>
      </c:catAx>
      <c:valAx>
        <c:axId val="12643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6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(2)'!$R$48:$R$71</c:f>
              <c:numCache>
                <c:formatCode>General</c:formatCode>
                <c:ptCount val="12"/>
                <c:pt idx="0">
                  <c:v>0.43604734694568825</c:v>
                </c:pt>
                <c:pt idx="1">
                  <c:v>0.35186448502528644</c:v>
                </c:pt>
                <c:pt idx="2">
                  <c:v>0.43304000893576905</c:v>
                </c:pt>
                <c:pt idx="3">
                  <c:v>0.29614567518231433</c:v>
                </c:pt>
                <c:pt idx="4">
                  <c:v>0.35062587286995395</c:v>
                </c:pt>
                <c:pt idx="5">
                  <c:v>8.1359634010181411E-2</c:v>
                </c:pt>
                <c:pt idx="6">
                  <c:v>0.35852607029878741</c:v>
                </c:pt>
                <c:pt idx="7">
                  <c:v>0.39278193017534507</c:v>
                </c:pt>
                <c:pt idx="8">
                  <c:v>0.33250764809352645</c:v>
                </c:pt>
                <c:pt idx="9">
                  <c:v>0.38833970174555338</c:v>
                </c:pt>
                <c:pt idx="10">
                  <c:v>0.1784589479777578</c:v>
                </c:pt>
                <c:pt idx="11">
                  <c:v>0.36932077394304358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3-43B2-965D-0013CDF75C2B}"/>
            </c:ext>
          </c:extLst>
        </c:ser>
        <c:ser>
          <c:idx val="7"/>
          <c:order val="1"/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(2)'!$S$48:$S$71</c:f>
              <c:numCache>
                <c:formatCode>General</c:formatCode>
                <c:ptCount val="12"/>
                <c:pt idx="0">
                  <c:v>0.40522016763084945</c:v>
                </c:pt>
                <c:pt idx="1">
                  <c:v>0.36535170773986886</c:v>
                </c:pt>
                <c:pt idx="2">
                  <c:v>0.43031898342821961</c:v>
                </c:pt>
                <c:pt idx="3">
                  <c:v>0.30359132989239823</c:v>
                </c:pt>
                <c:pt idx="4">
                  <c:v>0.3604995989867259</c:v>
                </c:pt>
                <c:pt idx="5">
                  <c:v>8.4250055438549618E-2</c:v>
                </c:pt>
                <c:pt idx="6">
                  <c:v>0.35852607029878741</c:v>
                </c:pt>
                <c:pt idx="7">
                  <c:v>0.40552221182543308</c:v>
                </c:pt>
                <c:pt idx="8">
                  <c:v>0.33250764809352645</c:v>
                </c:pt>
                <c:pt idx="9">
                  <c:v>0.37666975815017595</c:v>
                </c:pt>
                <c:pt idx="10">
                  <c:v>0.1784589479777578</c:v>
                </c:pt>
                <c:pt idx="11">
                  <c:v>0.39292210265768579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3-43B2-965D-0013CDF75C2B}"/>
            </c:ext>
          </c:extLst>
        </c:ser>
        <c:ser>
          <c:idx val="8"/>
          <c:order val="2"/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(2)'!$T$48:$T$71</c:f>
              <c:numCache>
                <c:formatCode>General</c:formatCode>
                <c:ptCount val="12"/>
                <c:pt idx="0">
                  <c:v>0.36987834044858098</c:v>
                </c:pt>
                <c:pt idx="1">
                  <c:v>0.33752249974143822</c:v>
                </c:pt>
                <c:pt idx="2">
                  <c:v>0.35067942468889479</c:v>
                </c:pt>
                <c:pt idx="3">
                  <c:v>0.15584319954964765</c:v>
                </c:pt>
                <c:pt idx="4">
                  <c:v>0.24554871862308619</c:v>
                </c:pt>
                <c:pt idx="5">
                  <c:v>0.12088588575088556</c:v>
                </c:pt>
                <c:pt idx="6">
                  <c:v>0.42395763962270111</c:v>
                </c:pt>
                <c:pt idx="7">
                  <c:v>0.41142433347368107</c:v>
                </c:pt>
                <c:pt idx="8">
                  <c:v>0.10589758116057335</c:v>
                </c:pt>
                <c:pt idx="9">
                  <c:v>0.33007078134131346</c:v>
                </c:pt>
                <c:pt idx="10">
                  <c:v>0.14757051322307504</c:v>
                </c:pt>
                <c:pt idx="11">
                  <c:v>0.32360108118363484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F3-43B2-965D-0013CDF75C2B}"/>
            </c:ext>
          </c:extLst>
        </c:ser>
        <c:ser>
          <c:idx val="9"/>
          <c:order val="3"/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(2)'!$U$48:$U$71</c:f>
              <c:numCache>
                <c:formatCode>General</c:formatCode>
                <c:ptCount val="12"/>
                <c:pt idx="0">
                  <c:v>0.3401879381658614</c:v>
                </c:pt>
                <c:pt idx="1">
                  <c:v>0.41968317266568245</c:v>
                </c:pt>
                <c:pt idx="2">
                  <c:v>0.42105836056544671</c:v>
                </c:pt>
                <c:pt idx="3">
                  <c:v>0.25731545936441297</c:v>
                </c:pt>
                <c:pt idx="4">
                  <c:v>0.26614449385230599</c:v>
                </c:pt>
                <c:pt idx="5">
                  <c:v>0.1780229400881759</c:v>
                </c:pt>
                <c:pt idx="6">
                  <c:v>0.38838301687237115</c:v>
                </c:pt>
                <c:pt idx="7">
                  <c:v>0.37664208616760259</c:v>
                </c:pt>
                <c:pt idx="8">
                  <c:v>0.2417275840095757</c:v>
                </c:pt>
                <c:pt idx="9">
                  <c:v>0.44441732424079561</c:v>
                </c:pt>
                <c:pt idx="10">
                  <c:v>0.20650790758166301</c:v>
                </c:pt>
                <c:pt idx="11">
                  <c:v>0.41632411742299469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F3-43B2-965D-0013CDF75C2B}"/>
            </c:ext>
          </c:extLst>
        </c:ser>
        <c:ser>
          <c:idx val="10"/>
          <c:order val="4"/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(2)'!$V$48:$V$71</c:f>
              <c:numCache>
                <c:formatCode>General</c:formatCode>
                <c:ptCount val="12"/>
                <c:pt idx="0">
                  <c:v>0.4205499127871456</c:v>
                </c:pt>
                <c:pt idx="1">
                  <c:v>0.32353073119759174</c:v>
                </c:pt>
                <c:pt idx="2">
                  <c:v>0.42872359255471049</c:v>
                </c:pt>
                <c:pt idx="3">
                  <c:v>0.20837761060734625</c:v>
                </c:pt>
                <c:pt idx="4">
                  <c:v>0.29377706900060996</c:v>
                </c:pt>
                <c:pt idx="5">
                  <c:v>0.11219097544091687</c:v>
                </c:pt>
                <c:pt idx="6">
                  <c:v>0.41739254949112936</c:v>
                </c:pt>
                <c:pt idx="7">
                  <c:v>0.41030512817807163</c:v>
                </c:pt>
                <c:pt idx="8">
                  <c:v>0.33970891771134581</c:v>
                </c:pt>
                <c:pt idx="9">
                  <c:v>0.38760310680047927</c:v>
                </c:pt>
                <c:pt idx="10">
                  <c:v>0.21734354192066854</c:v>
                </c:pt>
                <c:pt idx="11">
                  <c:v>0.37245439827531279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F3-43B2-965D-0013CDF75C2B}"/>
            </c:ext>
          </c:extLst>
        </c:ser>
        <c:ser>
          <c:idx val="11"/>
          <c:order val="5"/>
          <c:marker>
            <c:symbol val="none"/>
          </c:marker>
          <c:cat>
            <c:numRef>
              <c:f>'Sheet5 (2)'!$C$48:$C$71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(2)'!$W$48:$W$71</c:f>
              <c:numCache>
                <c:formatCode>General</c:formatCode>
                <c:ptCount val="12"/>
                <c:pt idx="0">
                  <c:v>0.31580358233553879</c:v>
                </c:pt>
                <c:pt idx="1">
                  <c:v>0.29933453074205624</c:v>
                </c:pt>
                <c:pt idx="2">
                  <c:v>0.39142137261923798</c:v>
                </c:pt>
                <c:pt idx="3">
                  <c:v>0.30222458766685933</c:v>
                </c:pt>
                <c:pt idx="4">
                  <c:v>0.35334328750013938</c:v>
                </c:pt>
                <c:pt idx="5">
                  <c:v>0.14511388546976597</c:v>
                </c:pt>
                <c:pt idx="6">
                  <c:v>0.31713195732885441</c:v>
                </c:pt>
                <c:pt idx="7">
                  <c:v>0.36053874331612973</c:v>
                </c:pt>
                <c:pt idx="8">
                  <c:v>0.21463365736601661</c:v>
                </c:pt>
                <c:pt idx="9">
                  <c:v>0.34910344520590214</c:v>
                </c:pt>
                <c:pt idx="10">
                  <c:v>0.21637123155756302</c:v>
                </c:pt>
                <c:pt idx="11">
                  <c:v>0.39946969393521431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3-43B2-965D-0013CDF75C2B}"/>
            </c:ext>
          </c:extLst>
        </c:ser>
        <c:ser>
          <c:idx val="0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(2)'!$R$98:$R$121</c:f>
              <c:numCache>
                <c:formatCode>General</c:formatCode>
                <c:ptCount val="12"/>
                <c:pt idx="0">
                  <c:v>0.37066589347359574</c:v>
                </c:pt>
                <c:pt idx="1">
                  <c:v>0.40338989354240801</c:v>
                </c:pt>
                <c:pt idx="2">
                  <c:v>0.40491435787685037</c:v>
                </c:pt>
                <c:pt idx="3">
                  <c:v>0.26214922965213167</c:v>
                </c:pt>
                <c:pt idx="4">
                  <c:v>0.39763891143664032</c:v>
                </c:pt>
                <c:pt idx="5">
                  <c:v>0.14469017003905366</c:v>
                </c:pt>
                <c:pt idx="6">
                  <c:v>0.45916180290550357</c:v>
                </c:pt>
                <c:pt idx="7">
                  <c:v>0.37240651386257284</c:v>
                </c:pt>
                <c:pt idx="8">
                  <c:v>0.20823174650447848</c:v>
                </c:pt>
                <c:pt idx="9">
                  <c:v>0.45798286548637523</c:v>
                </c:pt>
                <c:pt idx="10">
                  <c:v>0.24641897876590041</c:v>
                </c:pt>
                <c:pt idx="11">
                  <c:v>0.44595795698028129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3-43B2-965D-0013CDF75C2B}"/>
            </c:ext>
          </c:extLst>
        </c:ser>
        <c:ser>
          <c:idx val="1"/>
          <c:order val="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(2)'!$S$98:$S$121</c:f>
              <c:numCache>
                <c:formatCode>General</c:formatCode>
                <c:ptCount val="12"/>
                <c:pt idx="0">
                  <c:v>0.35102839422330351</c:v>
                </c:pt>
                <c:pt idx="1">
                  <c:v>0.3701863680954548</c:v>
                </c:pt>
                <c:pt idx="2">
                  <c:v>0.39239881106037927</c:v>
                </c:pt>
                <c:pt idx="3">
                  <c:v>0.36245061096261971</c:v>
                </c:pt>
                <c:pt idx="4">
                  <c:v>0.36780021563693999</c:v>
                </c:pt>
                <c:pt idx="5">
                  <c:v>0.26298299513909568</c:v>
                </c:pt>
                <c:pt idx="6">
                  <c:v>0.34765921774341624</c:v>
                </c:pt>
                <c:pt idx="7">
                  <c:v>0.41033884306961405</c:v>
                </c:pt>
                <c:pt idx="8">
                  <c:v>0.24052281146746129</c:v>
                </c:pt>
                <c:pt idx="9">
                  <c:v>0.40464889438400137</c:v>
                </c:pt>
                <c:pt idx="10">
                  <c:v>0.22010433477933194</c:v>
                </c:pt>
                <c:pt idx="11">
                  <c:v>0.39655430307941902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F3-43B2-965D-0013CDF75C2B}"/>
            </c:ext>
          </c:extLst>
        </c:ser>
        <c:ser>
          <c:idx val="2"/>
          <c:order val="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(2)'!$T$98:$T$121</c:f>
              <c:numCache>
                <c:formatCode>General</c:formatCode>
                <c:ptCount val="12"/>
                <c:pt idx="0">
                  <c:v>0.38337789494985169</c:v>
                </c:pt>
                <c:pt idx="1">
                  <c:v>0.39605187360326888</c:v>
                </c:pt>
                <c:pt idx="2">
                  <c:v>0.38799545277382957</c:v>
                </c:pt>
                <c:pt idx="3">
                  <c:v>0.24250230138271139</c:v>
                </c:pt>
                <c:pt idx="4">
                  <c:v>0.40192422425051799</c:v>
                </c:pt>
                <c:pt idx="5">
                  <c:v>0.14469017003905366</c:v>
                </c:pt>
                <c:pt idx="6">
                  <c:v>0.46901697721609298</c:v>
                </c:pt>
                <c:pt idx="7">
                  <c:v>0.3762889572335758</c:v>
                </c:pt>
                <c:pt idx="8">
                  <c:v>0.20823174650447848</c:v>
                </c:pt>
                <c:pt idx="9">
                  <c:v>0.46886062745439144</c:v>
                </c:pt>
                <c:pt idx="10">
                  <c:v>0.23105080006049405</c:v>
                </c:pt>
                <c:pt idx="11">
                  <c:v>0.41636579553852043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F3-43B2-965D-0013CDF75C2B}"/>
            </c:ext>
          </c:extLst>
        </c:ser>
        <c:ser>
          <c:idx val="3"/>
          <c:order val="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(2)'!$U$98:$U$121</c:f>
              <c:numCache>
                <c:formatCode>General</c:formatCode>
                <c:ptCount val="12"/>
                <c:pt idx="0">
                  <c:v>0.42582347160152606</c:v>
                </c:pt>
                <c:pt idx="1">
                  <c:v>0.54876991727958091</c:v>
                </c:pt>
                <c:pt idx="2">
                  <c:v>0.61616778325389487</c:v>
                </c:pt>
                <c:pt idx="3">
                  <c:v>0.57095499759270218</c:v>
                </c:pt>
                <c:pt idx="4">
                  <c:v>0.61991243077436897</c:v>
                </c:pt>
                <c:pt idx="5">
                  <c:v>0.42392174602419846</c:v>
                </c:pt>
                <c:pt idx="6">
                  <c:v>0.61014876602467694</c:v>
                </c:pt>
                <c:pt idx="7">
                  <c:v>0.48395499887132276</c:v>
                </c:pt>
                <c:pt idx="8">
                  <c:v>0.64759730211933142</c:v>
                </c:pt>
                <c:pt idx="9">
                  <c:v>0.56051504678812791</c:v>
                </c:pt>
                <c:pt idx="10">
                  <c:v>0.40920016636819107</c:v>
                </c:pt>
                <c:pt idx="11">
                  <c:v>0.49108141162020719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F3-43B2-965D-0013CDF75C2B}"/>
            </c:ext>
          </c:extLst>
        </c:ser>
        <c:ser>
          <c:idx val="4"/>
          <c:order val="1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(2)'!$V$98:$V$121</c:f>
              <c:numCache>
                <c:formatCode>General</c:formatCode>
                <c:ptCount val="12"/>
                <c:pt idx="0">
                  <c:v>0.35334037178732891</c:v>
                </c:pt>
                <c:pt idx="1">
                  <c:v>0.36123042569142799</c:v>
                </c:pt>
                <c:pt idx="2">
                  <c:v>0.39556742512307191</c:v>
                </c:pt>
                <c:pt idx="3">
                  <c:v>0.35432600771500927</c:v>
                </c:pt>
                <c:pt idx="4">
                  <c:v>0.37802309665062456</c:v>
                </c:pt>
                <c:pt idx="5">
                  <c:v>0.24185377532546362</c:v>
                </c:pt>
                <c:pt idx="6">
                  <c:v>0.38890288797635059</c:v>
                </c:pt>
                <c:pt idx="7">
                  <c:v>0.42089645455097574</c:v>
                </c:pt>
                <c:pt idx="8">
                  <c:v>0.24533736046902851</c:v>
                </c:pt>
                <c:pt idx="9">
                  <c:v>0.4057210497217596</c:v>
                </c:pt>
                <c:pt idx="10">
                  <c:v>0.22010433477933194</c:v>
                </c:pt>
                <c:pt idx="11">
                  <c:v>0.41148728343679042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F3-43B2-965D-0013CDF75C2B}"/>
            </c:ext>
          </c:extLst>
        </c:ser>
        <c:ser>
          <c:idx val="5"/>
          <c:order val="1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'Sheet5 (2)'!$C$98:$C$121</c:f>
              <c:numCache>
                <c:formatCode>General</c:formatCode>
                <c:ptCount val="12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</c:numCache>
            </c:numRef>
          </c:cat>
          <c:val>
            <c:numRef>
              <c:f>'Sheet5 (2)'!$W$98:$W$121</c:f>
              <c:numCache>
                <c:formatCode>General</c:formatCode>
                <c:ptCount val="12"/>
                <c:pt idx="0">
                  <c:v>0.31675424062112223</c:v>
                </c:pt>
                <c:pt idx="1">
                  <c:v>0.3670182448582277</c:v>
                </c:pt>
                <c:pt idx="2">
                  <c:v>0.38165660630747472</c:v>
                </c:pt>
                <c:pt idx="3">
                  <c:v>0.3083642714594339</c:v>
                </c:pt>
                <c:pt idx="4">
                  <c:v>0.36972477901430684</c:v>
                </c:pt>
                <c:pt idx="5">
                  <c:v>0.2097060405177619</c:v>
                </c:pt>
                <c:pt idx="6">
                  <c:v>0.34862679184446599</c:v>
                </c:pt>
                <c:pt idx="7">
                  <c:v>0.34168156136669198</c:v>
                </c:pt>
                <c:pt idx="8">
                  <c:v>0.22721851972488238</c:v>
                </c:pt>
                <c:pt idx="9">
                  <c:v>0.36146282758914766</c:v>
                </c:pt>
                <c:pt idx="10">
                  <c:v>0.18590158754794225</c:v>
                </c:pt>
                <c:pt idx="11">
                  <c:v>0.40386226284742271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F3-43B2-965D-0013CDF75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61007"/>
        <c:axId val="1264347759"/>
      </c:lineChart>
      <c:catAx>
        <c:axId val="11746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347759"/>
        <c:crosses val="autoZero"/>
        <c:auto val="1"/>
        <c:lblAlgn val="ctr"/>
        <c:lblOffset val="100"/>
        <c:noMultiLvlLbl val="0"/>
      </c:catAx>
      <c:valAx>
        <c:axId val="12643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66100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</cx:f>
      </cx:numDim>
    </cx:data>
    <cx:data id="3">
      <cx:numDim type="val">
        <cx:f>_xlchart.v1.3</cx:f>
      </cx:numDim>
    </cx:data>
    <cx:data id="4">
      <cx:numDim type="val">
        <cx:f>_xlchart.v1.5</cx:f>
      </cx:numDim>
    </cx:data>
    <cx:data id="5">
      <cx:numDim type="val">
        <cx:f>_xlchart.v1.7</cx:f>
      </cx:numDim>
    </cx:data>
  </cx:chartData>
  <cx:chart>
    <cx:plotArea>
      <cx:plotAreaRegion>
        <cx:series layoutId="boxWhisker" uniqueId="{2C8A0A9A-B744-494E-98B3-E8885CF83DBC}">
          <cx:tx>
            <cx:txData>
              <cx:f>_xlchart.v1.8</cx:f>
              <cx:v>H/C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689A1A9-8687-4981-BE92-85DAAE6F5C86}">
          <cx:tx>
            <cx:txData>
              <cx:f>_xlchart.v1.10</cx:f>
              <cx:v>N/C</cx:v>
            </cx:txData>
          </cx:tx>
          <cx:dataLabels/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9E786EE-D1E0-4A26-9086-BAECA06B6DCC}">
          <cx:tx>
            <cx:txData>
              <cx:f>_xlchart.v1.0</cx:f>
              <cx:v>O/C</cx:v>
            </cx:txData>
          </cx:tx>
          <cx:dataLabels/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3936717-E8A2-4949-ABDF-B04B0814E8CE}">
          <cx:tx>
            <cx:txData>
              <cx:f>_xlchart.v1.2</cx:f>
              <cx:v>N/H</cx:v>
            </cx:txData>
          </cx:tx>
          <cx:dataLabels/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C1B5DC00-F585-4DE4-BC66-E7C2D164FCAC}">
          <cx:tx>
            <cx:txData>
              <cx:f>_xlchart.v1.4</cx:f>
              <cx:v>O/H</cx:v>
            </cx:txData>
          </cx:tx>
          <cx:dataLabels/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C3AB91B-3628-4BD2-BE0F-B14DB1182647}">
          <cx:tx>
            <cx:txData>
              <cx:f>_xlchart.v1.6</cx:f>
              <cx:v>O/N</cx:v>
            </cx:txData>
          </cx:tx>
          <cx:dataLabels/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ajorTickMarks type="out"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243381</xdr:colOff>
      <xdr:row>2</xdr:row>
      <xdr:rowOff>123603</xdr:rowOff>
    </xdr:from>
    <xdr:to>
      <xdr:col>42</xdr:col>
      <xdr:colOff>166447</xdr:colOff>
      <xdr:row>36</xdr:row>
      <xdr:rowOff>152910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601E0473-2A2D-414A-916F-D2DAC1C464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08331" y="695103"/>
              <a:ext cx="4037866" cy="6182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280986</xdr:colOff>
      <xdr:row>4</xdr:row>
      <xdr:rowOff>28575</xdr:rowOff>
    </xdr:from>
    <xdr:to>
      <xdr:col>34</xdr:col>
      <xdr:colOff>152399</xdr:colOff>
      <xdr:row>19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7EB28DF-6385-46A5-B7F0-3D6DAFA2A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33337</xdr:colOff>
      <xdr:row>28</xdr:row>
      <xdr:rowOff>104775</xdr:rowOff>
    </xdr:from>
    <xdr:to>
      <xdr:col>18</xdr:col>
      <xdr:colOff>490537</xdr:colOff>
      <xdr:row>43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5F55C3B-0F74-4003-811A-D4E246C37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628650</xdr:colOff>
      <xdr:row>71</xdr:row>
      <xdr:rowOff>76200</xdr:rowOff>
    </xdr:from>
    <xdr:to>
      <xdr:col>22</xdr:col>
      <xdr:colOff>419099</xdr:colOff>
      <xdr:row>95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479C96C-DA51-402F-AC0C-FD877E541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414337</xdr:colOff>
      <xdr:row>44</xdr:row>
      <xdr:rowOff>19050</xdr:rowOff>
    </xdr:from>
    <xdr:to>
      <xdr:col>34</xdr:col>
      <xdr:colOff>185737</xdr:colOff>
      <xdr:row>71</xdr:row>
      <xdr:rowOff>47625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36E0402-22BA-44E0-B551-725CAD7DD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428625</xdr:colOff>
      <xdr:row>127</xdr:row>
      <xdr:rowOff>9525</xdr:rowOff>
    </xdr:from>
    <xdr:to>
      <xdr:col>22</xdr:col>
      <xdr:colOff>219074</xdr:colOff>
      <xdr:row>150</xdr:row>
      <xdr:rowOff>133350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B429E35-8C6B-45DC-AE3C-283832DB8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276225</xdr:colOff>
      <xdr:row>151</xdr:row>
      <xdr:rowOff>123825</xdr:rowOff>
    </xdr:from>
    <xdr:to>
      <xdr:col>22</xdr:col>
      <xdr:colOff>66674</xdr:colOff>
      <xdr:row>175</xdr:row>
      <xdr:rowOff>66675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CD1D2B0-4A3F-4EEE-A17F-3E73DD65D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42862</xdr:colOff>
      <xdr:row>179</xdr:row>
      <xdr:rowOff>161925</xdr:rowOff>
    </xdr:from>
    <xdr:to>
      <xdr:col>15</xdr:col>
      <xdr:colOff>419100</xdr:colOff>
      <xdr:row>195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915932-74E1-4E51-A074-0165DA850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633412</xdr:colOff>
      <xdr:row>26</xdr:row>
      <xdr:rowOff>95250</xdr:rowOff>
    </xdr:from>
    <xdr:to>
      <xdr:col>12</xdr:col>
      <xdr:colOff>404812</xdr:colOff>
      <xdr:row>41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1BC1A59-6503-4FA2-8189-AB514ABD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280986</xdr:colOff>
      <xdr:row>4</xdr:row>
      <xdr:rowOff>28575</xdr:rowOff>
    </xdr:from>
    <xdr:to>
      <xdr:col>33</xdr:col>
      <xdr:colOff>152399</xdr:colOff>
      <xdr:row>19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4CFF94-145C-4543-8793-4B7D26143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</xdr:colOff>
      <xdr:row>28</xdr:row>
      <xdr:rowOff>104775</xdr:rowOff>
    </xdr:from>
    <xdr:to>
      <xdr:col>17</xdr:col>
      <xdr:colOff>490537</xdr:colOff>
      <xdr:row>43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46CBE9-AF65-478F-A3F4-DA1E1D1FE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628650</xdr:colOff>
      <xdr:row>71</xdr:row>
      <xdr:rowOff>76200</xdr:rowOff>
    </xdr:from>
    <xdr:to>
      <xdr:col>21</xdr:col>
      <xdr:colOff>419099</xdr:colOff>
      <xdr:row>95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05A48E2-C19C-4B8C-9293-24308C8EC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414337</xdr:colOff>
      <xdr:row>44</xdr:row>
      <xdr:rowOff>19050</xdr:rowOff>
    </xdr:from>
    <xdr:to>
      <xdr:col>33</xdr:col>
      <xdr:colOff>185737</xdr:colOff>
      <xdr:row>71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315BE1D-3A1C-451A-BECF-F97017384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428625</xdr:colOff>
      <xdr:row>127</xdr:row>
      <xdr:rowOff>9525</xdr:rowOff>
    </xdr:from>
    <xdr:to>
      <xdr:col>21</xdr:col>
      <xdr:colOff>219074</xdr:colOff>
      <xdr:row>150</xdr:row>
      <xdr:rowOff>133350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116FCAA-A2DB-49F1-91C2-B37D9E36B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276225</xdr:colOff>
      <xdr:row>151</xdr:row>
      <xdr:rowOff>123825</xdr:rowOff>
    </xdr:from>
    <xdr:to>
      <xdr:col>21</xdr:col>
      <xdr:colOff>66674</xdr:colOff>
      <xdr:row>175</xdr:row>
      <xdr:rowOff>66675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629BE88-2F0F-404A-B477-44ACBA70F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F7AB-A2CF-4C6C-BA69-325FB64E0B8F}">
  <dimension ref="A1:AK52"/>
  <sheetViews>
    <sheetView zoomScale="115" zoomScaleNormal="115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N35" sqref="N35"/>
    </sheetView>
  </sheetViews>
  <sheetFormatPr defaultRowHeight="14.25" x14ac:dyDescent="0.2"/>
  <cols>
    <col min="21" max="21" width="10.25" customWidth="1"/>
    <col min="22" max="22" width="8.125" customWidth="1"/>
    <col min="23" max="23" width="9.25" customWidth="1"/>
    <col min="24" max="24" width="8" customWidth="1"/>
    <col min="25" max="25" width="13" bestFit="1" customWidth="1"/>
    <col min="26" max="30" width="7.875" bestFit="1" customWidth="1"/>
    <col min="31" max="32" width="7.875" customWidth="1"/>
  </cols>
  <sheetData>
    <row r="1" spans="1:36" ht="30.95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3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51" t="s">
        <v>145</v>
      </c>
      <c r="V2" s="51" t="s">
        <v>146</v>
      </c>
      <c r="W2" s="51" t="s">
        <v>147</v>
      </c>
      <c r="X2" s="51" t="s">
        <v>148</v>
      </c>
      <c r="Y2" s="51" t="s">
        <v>149</v>
      </c>
      <c r="Z2" s="51" t="s">
        <v>150</v>
      </c>
      <c r="AA2" s="51" t="s">
        <v>151</v>
      </c>
      <c r="AB2" s="51" t="s">
        <v>152</v>
      </c>
      <c r="AC2" s="51" t="s">
        <v>153</v>
      </c>
      <c r="AD2" s="51" t="s">
        <v>154</v>
      </c>
      <c r="AE2" s="51" t="s">
        <v>161</v>
      </c>
      <c r="AF2" s="44" t="s">
        <v>160</v>
      </c>
      <c r="AG2" s="44" t="s">
        <v>162</v>
      </c>
      <c r="AH2" s="44" t="s">
        <v>163</v>
      </c>
      <c r="AI2" s="44" t="s">
        <v>164</v>
      </c>
      <c r="AJ2" s="44" t="s">
        <v>165</v>
      </c>
    </row>
    <row r="3" spans="1:36" x14ac:dyDescent="0.2">
      <c r="A3" s="2">
        <v>1</v>
      </c>
      <c r="B3" s="1" t="s">
        <v>124</v>
      </c>
      <c r="C3" s="1" t="s">
        <v>22</v>
      </c>
      <c r="D3" s="1" t="s">
        <v>23</v>
      </c>
      <c r="E3" s="1" t="s">
        <v>22</v>
      </c>
      <c r="F3" s="1" t="s">
        <v>22</v>
      </c>
      <c r="G3" s="1" t="s">
        <v>24</v>
      </c>
      <c r="H3" s="1" t="s">
        <v>23</v>
      </c>
      <c r="I3" s="1" t="s">
        <v>36</v>
      </c>
      <c r="J3" s="1" t="s">
        <v>23</v>
      </c>
      <c r="K3" s="1" t="s">
        <v>26</v>
      </c>
      <c r="L3" s="1" t="s">
        <v>27</v>
      </c>
      <c r="M3" s="1" t="s">
        <v>23</v>
      </c>
      <c r="N3" s="1" t="s">
        <v>28</v>
      </c>
      <c r="O3" s="1" t="s">
        <v>36</v>
      </c>
      <c r="P3" s="1" t="s">
        <v>23</v>
      </c>
      <c r="Q3" s="1" t="s">
        <v>23</v>
      </c>
      <c r="R3" s="1" t="s">
        <v>24</v>
      </c>
      <c r="S3" s="1" t="s">
        <v>24</v>
      </c>
      <c r="T3" s="1" t="s">
        <v>29</v>
      </c>
    </row>
    <row r="4" spans="1:36" x14ac:dyDescent="0.2">
      <c r="A4" s="2">
        <v>2</v>
      </c>
      <c r="B4" s="1" t="s">
        <v>21</v>
      </c>
      <c r="C4" s="1" t="s">
        <v>22</v>
      </c>
      <c r="D4" s="1" t="s">
        <v>23</v>
      </c>
      <c r="E4" s="1" t="s">
        <v>22</v>
      </c>
      <c r="F4" s="1" t="s">
        <v>22</v>
      </c>
      <c r="G4" s="1" t="s">
        <v>24</v>
      </c>
      <c r="H4" s="1" t="s">
        <v>23</v>
      </c>
      <c r="I4" s="1" t="s">
        <v>36</v>
      </c>
      <c r="J4" s="1" t="s">
        <v>23</v>
      </c>
      <c r="K4" s="1" t="s">
        <v>26</v>
      </c>
      <c r="L4" s="1" t="s">
        <v>38</v>
      </c>
      <c r="M4" s="1" t="s">
        <v>23</v>
      </c>
      <c r="N4" s="1" t="s">
        <v>28</v>
      </c>
      <c r="O4" s="1" t="s">
        <v>36</v>
      </c>
      <c r="P4" s="1" t="s">
        <v>23</v>
      </c>
      <c r="Q4" s="1" t="s">
        <v>37</v>
      </c>
      <c r="R4" s="1" t="s">
        <v>24</v>
      </c>
      <c r="S4" s="1" t="s">
        <v>24</v>
      </c>
      <c r="T4" s="1" t="s">
        <v>29</v>
      </c>
    </row>
    <row r="5" spans="1:36" x14ac:dyDescent="0.2">
      <c r="A5" s="2">
        <v>3</v>
      </c>
      <c r="B5" s="1" t="s">
        <v>21</v>
      </c>
      <c r="C5" s="1" t="s">
        <v>22</v>
      </c>
      <c r="D5" s="1" t="s">
        <v>23</v>
      </c>
      <c r="E5" s="1" t="s">
        <v>22</v>
      </c>
      <c r="F5" s="1" t="s">
        <v>22</v>
      </c>
      <c r="G5" s="1" t="s">
        <v>24</v>
      </c>
      <c r="H5" s="1" t="s">
        <v>23</v>
      </c>
      <c r="I5" s="1" t="s">
        <v>25</v>
      </c>
      <c r="J5" s="1" t="s">
        <v>23</v>
      </c>
      <c r="K5" s="1" t="s">
        <v>26</v>
      </c>
      <c r="L5" s="1" t="s">
        <v>39</v>
      </c>
      <c r="M5" s="1" t="s">
        <v>23</v>
      </c>
      <c r="N5" s="1" t="s">
        <v>28</v>
      </c>
      <c r="O5" s="1" t="s">
        <v>25</v>
      </c>
      <c r="P5" s="1" t="s">
        <v>23</v>
      </c>
      <c r="Q5" s="1" t="s">
        <v>23</v>
      </c>
      <c r="R5" s="1" t="s">
        <v>24</v>
      </c>
      <c r="S5" s="1" t="s">
        <v>24</v>
      </c>
      <c r="T5" s="1" t="s">
        <v>29</v>
      </c>
      <c r="U5">
        <v>86</v>
      </c>
      <c r="V5">
        <v>142</v>
      </c>
      <c r="W5">
        <v>22</v>
      </c>
      <c r="X5">
        <v>23</v>
      </c>
      <c r="Y5" s="53">
        <f t="shared" ref="Y5:Y46" si="0">V5/$U5</f>
        <v>1.6511627906976745</v>
      </c>
      <c r="Z5" s="53">
        <f t="shared" ref="Z5:Z46" si="1">W5/$U5</f>
        <v>0.2558139534883721</v>
      </c>
      <c r="AA5" s="53">
        <f t="shared" ref="AA5:AA46" si="2">X5/$U5</f>
        <v>0.26744186046511625</v>
      </c>
      <c r="AB5" s="53">
        <f>W5/$V5</f>
        <v>0.15492957746478872</v>
      </c>
      <c r="AC5" s="53">
        <f>X5/$V5</f>
        <v>0.1619718309859155</v>
      </c>
      <c r="AD5" s="53">
        <f>X5/W5</f>
        <v>1.0454545454545454</v>
      </c>
      <c r="AE5" s="53">
        <f>U5/V5</f>
        <v>0.60563380281690138</v>
      </c>
      <c r="AF5" s="53">
        <f t="shared" ref="AF5:AF46" si="3">U5/W5</f>
        <v>3.9090909090909092</v>
      </c>
      <c r="AG5">
        <f>U5/X5</f>
        <v>3.7391304347826089</v>
      </c>
      <c r="AH5">
        <f>V5/W5</f>
        <v>6.4545454545454541</v>
      </c>
      <c r="AI5">
        <f>V5/X5</f>
        <v>6.1739130434782608</v>
      </c>
      <c r="AJ5">
        <f>W5/X5</f>
        <v>0.95652173913043481</v>
      </c>
    </row>
    <row r="6" spans="1:36" x14ac:dyDescent="0.2">
      <c r="A6" s="2">
        <v>4</v>
      </c>
      <c r="B6" s="1" t="s">
        <v>21</v>
      </c>
      <c r="C6" s="1" t="s">
        <v>22</v>
      </c>
      <c r="D6" s="1" t="s">
        <v>23</v>
      </c>
      <c r="E6" s="1" t="s">
        <v>26</v>
      </c>
      <c r="F6" s="1" t="s">
        <v>22</v>
      </c>
      <c r="G6" s="1" t="s">
        <v>24</v>
      </c>
      <c r="H6" s="1" t="s">
        <v>23</v>
      </c>
      <c r="I6" s="1" t="s">
        <v>25</v>
      </c>
      <c r="J6" s="1" t="s">
        <v>23</v>
      </c>
      <c r="K6" s="1" t="s">
        <v>26</v>
      </c>
      <c r="L6" s="1" t="s">
        <v>30</v>
      </c>
      <c r="M6" s="1" t="s">
        <v>23</v>
      </c>
      <c r="N6" s="1" t="s">
        <v>28</v>
      </c>
      <c r="O6" s="1" t="s">
        <v>25</v>
      </c>
      <c r="P6" s="1" t="s">
        <v>23</v>
      </c>
      <c r="Q6" s="1" t="s">
        <v>23</v>
      </c>
      <c r="R6" s="1" t="s">
        <v>24</v>
      </c>
      <c r="S6" s="1" t="s">
        <v>24</v>
      </c>
      <c r="T6" s="1" t="s">
        <v>29</v>
      </c>
      <c r="U6">
        <v>85</v>
      </c>
      <c r="V6">
        <v>140</v>
      </c>
      <c r="W6">
        <v>22</v>
      </c>
      <c r="X6">
        <v>23</v>
      </c>
      <c r="Y6" s="53">
        <f t="shared" si="0"/>
        <v>1.6470588235294117</v>
      </c>
      <c r="Z6" s="53">
        <f t="shared" si="1"/>
        <v>0.25882352941176473</v>
      </c>
      <c r="AA6" s="53">
        <f t="shared" si="2"/>
        <v>0.27058823529411763</v>
      </c>
      <c r="AB6" s="53">
        <f t="shared" ref="AB6:AB46" si="4">W6/$V6</f>
        <v>0.15714285714285714</v>
      </c>
      <c r="AC6" s="53">
        <f t="shared" ref="AC6:AC46" si="5">X6/$V6</f>
        <v>0.16428571428571428</v>
      </c>
      <c r="AD6" s="53">
        <f t="shared" ref="AD6:AD46" si="6">X6/W6</f>
        <v>1.0454545454545454</v>
      </c>
      <c r="AE6" s="53">
        <f t="shared" ref="AE6:AE46" si="7">U6/V6</f>
        <v>0.6071428571428571</v>
      </c>
      <c r="AF6" s="53">
        <f t="shared" si="3"/>
        <v>3.8636363636363638</v>
      </c>
      <c r="AG6">
        <f t="shared" ref="AG6:AG46" si="8">U6/X6</f>
        <v>3.6956521739130435</v>
      </c>
      <c r="AH6">
        <f t="shared" ref="AH6:AH46" si="9">V6/W6</f>
        <v>6.3636363636363633</v>
      </c>
      <c r="AI6">
        <f t="shared" ref="AI6:AI46" si="10">V6/X6</f>
        <v>6.0869565217391308</v>
      </c>
      <c r="AJ6">
        <f t="shared" ref="AJ6:AJ46" si="11">W6/X6</f>
        <v>0.95652173913043481</v>
      </c>
    </row>
    <row r="7" spans="1:36" x14ac:dyDescent="0.2">
      <c r="A7" s="2">
        <v>5</v>
      </c>
      <c r="B7" s="1" t="s">
        <v>21</v>
      </c>
      <c r="C7" s="1" t="s">
        <v>22</v>
      </c>
      <c r="D7" s="1" t="s">
        <v>23</v>
      </c>
      <c r="E7" s="1" t="s">
        <v>22</v>
      </c>
      <c r="F7" s="1" t="s">
        <v>22</v>
      </c>
      <c r="G7" s="1" t="s">
        <v>24</v>
      </c>
      <c r="H7" s="1" t="s">
        <v>23</v>
      </c>
      <c r="I7" s="1" t="s">
        <v>30</v>
      </c>
      <c r="J7" s="1" t="s">
        <v>23</v>
      </c>
      <c r="K7" s="1" t="s">
        <v>26</v>
      </c>
      <c r="L7" s="1" t="s">
        <v>30</v>
      </c>
      <c r="M7" s="1" t="s">
        <v>23</v>
      </c>
      <c r="N7" s="1" t="s">
        <v>28</v>
      </c>
      <c r="O7" s="1" t="s">
        <v>25</v>
      </c>
      <c r="P7" s="1" t="s">
        <v>23</v>
      </c>
      <c r="Q7" s="1" t="s">
        <v>23</v>
      </c>
      <c r="R7" s="1" t="s">
        <v>24</v>
      </c>
      <c r="S7" s="1" t="s">
        <v>24</v>
      </c>
      <c r="T7" s="1" t="s">
        <v>29</v>
      </c>
      <c r="U7">
        <v>87</v>
      </c>
      <c r="V7">
        <v>144</v>
      </c>
      <c r="W7">
        <v>22</v>
      </c>
      <c r="X7">
        <v>23</v>
      </c>
      <c r="Y7" s="53">
        <f t="shared" si="0"/>
        <v>1.6551724137931034</v>
      </c>
      <c r="Z7" s="53">
        <f t="shared" si="1"/>
        <v>0.25287356321839083</v>
      </c>
      <c r="AA7" s="53">
        <f t="shared" si="2"/>
        <v>0.26436781609195403</v>
      </c>
      <c r="AB7" s="53">
        <f t="shared" si="4"/>
        <v>0.15277777777777779</v>
      </c>
      <c r="AC7" s="53">
        <f t="shared" si="5"/>
        <v>0.15972222222222221</v>
      </c>
      <c r="AD7" s="53">
        <f t="shared" si="6"/>
        <v>1.0454545454545454</v>
      </c>
      <c r="AE7" s="53">
        <f t="shared" si="7"/>
        <v>0.60416666666666663</v>
      </c>
      <c r="AF7" s="53">
        <f t="shared" si="3"/>
        <v>3.9545454545454546</v>
      </c>
      <c r="AG7">
        <f t="shared" si="8"/>
        <v>3.7826086956521738</v>
      </c>
      <c r="AH7">
        <f t="shared" si="9"/>
        <v>6.5454545454545459</v>
      </c>
      <c r="AI7">
        <f t="shared" si="10"/>
        <v>6.2608695652173916</v>
      </c>
      <c r="AJ7">
        <f t="shared" si="11"/>
        <v>0.95652173913043481</v>
      </c>
    </row>
    <row r="8" spans="1:36" x14ac:dyDescent="0.2">
      <c r="A8" s="2">
        <v>6</v>
      </c>
      <c r="B8" s="1" t="s">
        <v>21</v>
      </c>
      <c r="C8" s="1" t="s">
        <v>22</v>
      </c>
      <c r="D8" s="1" t="s">
        <v>23</v>
      </c>
      <c r="E8" s="1" t="s">
        <v>26</v>
      </c>
      <c r="F8" s="1" t="s">
        <v>22</v>
      </c>
      <c r="G8" s="1" t="s">
        <v>24</v>
      </c>
      <c r="H8" s="1" t="s">
        <v>23</v>
      </c>
      <c r="I8" s="1" t="s">
        <v>25</v>
      </c>
      <c r="J8" s="1" t="s">
        <v>23</v>
      </c>
      <c r="K8" s="1" t="s">
        <v>26</v>
      </c>
      <c r="L8" s="1" t="s">
        <v>30</v>
      </c>
      <c r="M8" s="1" t="s">
        <v>23</v>
      </c>
      <c r="N8" s="1" t="s">
        <v>28</v>
      </c>
      <c r="O8" s="1" t="s">
        <v>25</v>
      </c>
      <c r="P8" s="1" t="s">
        <v>23</v>
      </c>
      <c r="Q8" s="1" t="s">
        <v>25</v>
      </c>
      <c r="R8" s="1" t="s">
        <v>24</v>
      </c>
      <c r="S8" s="1" t="s">
        <v>24</v>
      </c>
      <c r="T8" s="1" t="s">
        <v>29</v>
      </c>
      <c r="U8">
        <v>86</v>
      </c>
      <c r="V8">
        <v>142</v>
      </c>
      <c r="W8">
        <v>22</v>
      </c>
      <c r="X8">
        <v>23</v>
      </c>
      <c r="Y8" s="53">
        <f t="shared" si="0"/>
        <v>1.6511627906976745</v>
      </c>
      <c r="Z8" s="53">
        <f t="shared" si="1"/>
        <v>0.2558139534883721</v>
      </c>
      <c r="AA8" s="53">
        <f t="shared" si="2"/>
        <v>0.26744186046511625</v>
      </c>
      <c r="AB8" s="53">
        <f t="shared" si="4"/>
        <v>0.15492957746478872</v>
      </c>
      <c r="AC8" s="53">
        <f t="shared" si="5"/>
        <v>0.1619718309859155</v>
      </c>
      <c r="AD8" s="53">
        <f t="shared" si="6"/>
        <v>1.0454545454545454</v>
      </c>
      <c r="AE8" s="53">
        <f t="shared" si="7"/>
        <v>0.60563380281690138</v>
      </c>
      <c r="AF8" s="53">
        <f t="shared" si="3"/>
        <v>3.9090909090909092</v>
      </c>
      <c r="AG8">
        <f t="shared" si="8"/>
        <v>3.7391304347826089</v>
      </c>
      <c r="AH8">
        <f t="shared" si="9"/>
        <v>6.4545454545454541</v>
      </c>
      <c r="AI8">
        <f t="shared" si="10"/>
        <v>6.1739130434782608</v>
      </c>
      <c r="AJ8">
        <f t="shared" si="11"/>
        <v>0.95652173913043481</v>
      </c>
    </row>
    <row r="9" spans="1:36" x14ac:dyDescent="0.2">
      <c r="A9" s="2">
        <v>7</v>
      </c>
      <c r="B9" s="1" t="s">
        <v>21</v>
      </c>
      <c r="C9" s="1" t="s">
        <v>22</v>
      </c>
      <c r="D9" s="1" t="s">
        <v>23</v>
      </c>
      <c r="E9" s="1" t="s">
        <v>26</v>
      </c>
      <c r="F9" s="1" t="s">
        <v>22</v>
      </c>
      <c r="G9" s="1" t="s">
        <v>24</v>
      </c>
      <c r="H9" s="1" t="s">
        <v>23</v>
      </c>
      <c r="I9" s="1" t="s">
        <v>25</v>
      </c>
      <c r="J9" s="1" t="s">
        <v>23</v>
      </c>
      <c r="K9" s="1" t="s">
        <v>26</v>
      </c>
      <c r="L9" s="1" t="s">
        <v>30</v>
      </c>
      <c r="M9" s="1" t="s">
        <v>23</v>
      </c>
      <c r="N9" s="1" t="s">
        <v>28</v>
      </c>
      <c r="O9" s="1" t="s">
        <v>25</v>
      </c>
      <c r="P9" s="1" t="s">
        <v>23</v>
      </c>
      <c r="Q9" s="1" t="s">
        <v>23</v>
      </c>
      <c r="R9" s="1" t="s">
        <v>31</v>
      </c>
      <c r="S9" s="1" t="s">
        <v>24</v>
      </c>
      <c r="T9" s="1" t="s">
        <v>29</v>
      </c>
      <c r="U9">
        <v>85</v>
      </c>
      <c r="V9">
        <v>139</v>
      </c>
      <c r="W9">
        <v>21</v>
      </c>
      <c r="X9">
        <v>24</v>
      </c>
      <c r="Y9" s="53">
        <f t="shared" si="0"/>
        <v>1.6352941176470588</v>
      </c>
      <c r="Z9" s="53">
        <f t="shared" si="1"/>
        <v>0.24705882352941178</v>
      </c>
      <c r="AA9" s="53">
        <f t="shared" si="2"/>
        <v>0.28235294117647058</v>
      </c>
      <c r="AB9" s="53">
        <f t="shared" si="4"/>
        <v>0.15107913669064749</v>
      </c>
      <c r="AC9" s="53">
        <f t="shared" si="5"/>
        <v>0.17266187050359713</v>
      </c>
      <c r="AD9" s="53">
        <f t="shared" si="6"/>
        <v>1.1428571428571428</v>
      </c>
      <c r="AE9" s="53">
        <f t="shared" si="7"/>
        <v>0.61151079136690645</v>
      </c>
      <c r="AF9" s="53">
        <f t="shared" si="3"/>
        <v>4.0476190476190474</v>
      </c>
      <c r="AG9">
        <f t="shared" si="8"/>
        <v>3.5416666666666665</v>
      </c>
      <c r="AH9">
        <f t="shared" si="9"/>
        <v>6.6190476190476186</v>
      </c>
      <c r="AI9">
        <f t="shared" si="10"/>
        <v>5.791666666666667</v>
      </c>
      <c r="AJ9">
        <f t="shared" si="11"/>
        <v>0.875</v>
      </c>
    </row>
    <row r="10" spans="1:36" x14ac:dyDescent="0.2">
      <c r="A10" s="2">
        <v>8</v>
      </c>
      <c r="B10" s="1" t="s">
        <v>21</v>
      </c>
      <c r="C10" s="1" t="s">
        <v>22</v>
      </c>
      <c r="D10" s="1" t="s">
        <v>23</v>
      </c>
      <c r="E10" s="1" t="s">
        <v>26</v>
      </c>
      <c r="F10" s="1" t="s">
        <v>22</v>
      </c>
      <c r="G10" s="1" t="s">
        <v>24</v>
      </c>
      <c r="H10" s="1" t="s">
        <v>23</v>
      </c>
      <c r="I10" s="1" t="s">
        <v>25</v>
      </c>
      <c r="J10" s="1" t="s">
        <v>23</v>
      </c>
      <c r="K10" s="1" t="s">
        <v>26</v>
      </c>
      <c r="L10" s="1" t="s">
        <v>30</v>
      </c>
      <c r="M10" s="1" t="s">
        <v>23</v>
      </c>
      <c r="N10" s="1" t="s">
        <v>28</v>
      </c>
      <c r="O10" s="1" t="s">
        <v>25</v>
      </c>
      <c r="P10" s="1" t="s">
        <v>23</v>
      </c>
      <c r="Q10" s="1" t="s">
        <v>23</v>
      </c>
      <c r="R10" s="1" t="s">
        <v>24</v>
      </c>
      <c r="S10" s="1" t="s">
        <v>24</v>
      </c>
      <c r="T10" s="1" t="s">
        <v>32</v>
      </c>
      <c r="U10">
        <v>87</v>
      </c>
      <c r="V10">
        <v>142</v>
      </c>
      <c r="W10">
        <v>22</v>
      </c>
      <c r="X10">
        <v>24</v>
      </c>
      <c r="Y10" s="53">
        <f t="shared" si="0"/>
        <v>1.632183908045977</v>
      </c>
      <c r="Z10" s="53">
        <f t="shared" si="1"/>
        <v>0.25287356321839083</v>
      </c>
      <c r="AA10" s="53">
        <f t="shared" si="2"/>
        <v>0.27586206896551724</v>
      </c>
      <c r="AB10" s="53">
        <f t="shared" si="4"/>
        <v>0.15492957746478872</v>
      </c>
      <c r="AC10" s="53">
        <f t="shared" si="5"/>
        <v>0.16901408450704225</v>
      </c>
      <c r="AD10" s="53">
        <f t="shared" si="6"/>
        <v>1.0909090909090908</v>
      </c>
      <c r="AE10" s="53">
        <f t="shared" si="7"/>
        <v>0.61267605633802813</v>
      </c>
      <c r="AF10" s="53">
        <f t="shared" si="3"/>
        <v>3.9545454545454546</v>
      </c>
      <c r="AG10">
        <f t="shared" si="8"/>
        <v>3.625</v>
      </c>
      <c r="AH10">
        <f t="shared" si="9"/>
        <v>6.4545454545454541</v>
      </c>
      <c r="AI10">
        <f t="shared" si="10"/>
        <v>5.916666666666667</v>
      </c>
      <c r="AJ10">
        <f t="shared" si="11"/>
        <v>0.91666666666666663</v>
      </c>
    </row>
    <row r="11" spans="1:36" x14ac:dyDescent="0.2">
      <c r="A11" s="2">
        <v>9</v>
      </c>
      <c r="B11" s="1" t="s">
        <v>21</v>
      </c>
      <c r="C11" s="1" t="s">
        <v>22</v>
      </c>
      <c r="D11" s="1" t="s">
        <v>23</v>
      </c>
      <c r="E11" s="1" t="s">
        <v>22</v>
      </c>
      <c r="F11" s="1" t="s">
        <v>22</v>
      </c>
      <c r="G11" s="1" t="s">
        <v>24</v>
      </c>
      <c r="H11" s="1" t="s">
        <v>23</v>
      </c>
      <c r="I11" s="1" t="s">
        <v>25</v>
      </c>
      <c r="J11" s="1" t="s">
        <v>23</v>
      </c>
      <c r="K11" s="1" t="s">
        <v>26</v>
      </c>
      <c r="L11" s="1" t="s">
        <v>30</v>
      </c>
      <c r="M11" s="1" t="s">
        <v>23</v>
      </c>
      <c r="N11" s="1" t="s">
        <v>28</v>
      </c>
      <c r="O11" s="1" t="s">
        <v>25</v>
      </c>
      <c r="P11" s="1" t="s">
        <v>23</v>
      </c>
      <c r="Q11" s="1" t="s">
        <v>25</v>
      </c>
      <c r="R11" s="1" t="s">
        <v>24</v>
      </c>
      <c r="S11" s="1" t="s">
        <v>24</v>
      </c>
      <c r="T11" s="1" t="s">
        <v>29</v>
      </c>
      <c r="U11">
        <v>87</v>
      </c>
      <c r="V11">
        <v>144</v>
      </c>
      <c r="W11">
        <v>22</v>
      </c>
      <c r="X11">
        <v>23</v>
      </c>
      <c r="Y11" s="53">
        <f t="shared" si="0"/>
        <v>1.6551724137931034</v>
      </c>
      <c r="Z11" s="53">
        <f t="shared" si="1"/>
        <v>0.25287356321839083</v>
      </c>
      <c r="AA11" s="53">
        <f t="shared" si="2"/>
        <v>0.26436781609195403</v>
      </c>
      <c r="AB11" s="53">
        <f t="shared" si="4"/>
        <v>0.15277777777777779</v>
      </c>
      <c r="AC11" s="53">
        <f t="shared" si="5"/>
        <v>0.15972222222222221</v>
      </c>
      <c r="AD11" s="53">
        <f t="shared" si="6"/>
        <v>1.0454545454545454</v>
      </c>
      <c r="AE11" s="53">
        <f t="shared" si="7"/>
        <v>0.60416666666666663</v>
      </c>
      <c r="AF11" s="53">
        <f t="shared" si="3"/>
        <v>3.9545454545454546</v>
      </c>
      <c r="AG11">
        <f t="shared" si="8"/>
        <v>3.7826086956521738</v>
      </c>
      <c r="AH11">
        <f t="shared" si="9"/>
        <v>6.5454545454545459</v>
      </c>
      <c r="AI11">
        <f t="shared" si="10"/>
        <v>6.2608695652173916</v>
      </c>
      <c r="AJ11">
        <f t="shared" si="11"/>
        <v>0.95652173913043481</v>
      </c>
    </row>
    <row r="12" spans="1:36" x14ac:dyDescent="0.2">
      <c r="A12" s="2">
        <v>10</v>
      </c>
      <c r="B12" s="1" t="s">
        <v>21</v>
      </c>
      <c r="C12" s="1" t="s">
        <v>22</v>
      </c>
      <c r="D12" s="1" t="s">
        <v>23</v>
      </c>
      <c r="E12" s="1" t="s">
        <v>22</v>
      </c>
      <c r="F12" s="1" t="s">
        <v>22</v>
      </c>
      <c r="G12" s="1" t="s">
        <v>24</v>
      </c>
      <c r="H12" s="1" t="s">
        <v>23</v>
      </c>
      <c r="I12" s="1" t="s">
        <v>25</v>
      </c>
      <c r="J12" s="1" t="s">
        <v>23</v>
      </c>
      <c r="K12" s="1" t="s">
        <v>26</v>
      </c>
      <c r="L12" s="1" t="s">
        <v>30</v>
      </c>
      <c r="M12" s="1" t="s">
        <v>23</v>
      </c>
      <c r="N12" s="1" t="s">
        <v>28</v>
      </c>
      <c r="O12" s="1" t="s">
        <v>25</v>
      </c>
      <c r="P12" s="1" t="s">
        <v>23</v>
      </c>
      <c r="Q12" s="1" t="s">
        <v>23</v>
      </c>
      <c r="R12" s="1" t="s">
        <v>31</v>
      </c>
      <c r="S12" s="1" t="s">
        <v>24</v>
      </c>
      <c r="T12" s="1" t="s">
        <v>29</v>
      </c>
      <c r="U12">
        <v>86</v>
      </c>
      <c r="V12">
        <v>141</v>
      </c>
      <c r="W12">
        <v>21</v>
      </c>
      <c r="X12">
        <v>24</v>
      </c>
      <c r="Y12" s="53">
        <f t="shared" si="0"/>
        <v>1.6395348837209303</v>
      </c>
      <c r="Z12" s="53">
        <f t="shared" si="1"/>
        <v>0.2441860465116279</v>
      </c>
      <c r="AA12" s="53">
        <f t="shared" si="2"/>
        <v>0.27906976744186046</v>
      </c>
      <c r="AB12" s="53">
        <f t="shared" si="4"/>
        <v>0.14893617021276595</v>
      </c>
      <c r="AC12" s="53">
        <f t="shared" si="5"/>
        <v>0.1702127659574468</v>
      </c>
      <c r="AD12" s="53">
        <f t="shared" si="6"/>
        <v>1.1428571428571428</v>
      </c>
      <c r="AE12" s="53">
        <f t="shared" si="7"/>
        <v>0.60992907801418439</v>
      </c>
      <c r="AF12" s="53">
        <f t="shared" si="3"/>
        <v>4.0952380952380949</v>
      </c>
      <c r="AG12">
        <f t="shared" si="8"/>
        <v>3.5833333333333335</v>
      </c>
      <c r="AH12">
        <f t="shared" si="9"/>
        <v>6.7142857142857144</v>
      </c>
      <c r="AI12">
        <f t="shared" si="10"/>
        <v>5.875</v>
      </c>
      <c r="AJ12">
        <f t="shared" si="11"/>
        <v>0.875</v>
      </c>
    </row>
    <row r="13" spans="1:36" x14ac:dyDescent="0.2">
      <c r="A13" s="2">
        <v>11</v>
      </c>
      <c r="B13" s="1" t="s">
        <v>21</v>
      </c>
      <c r="C13" s="1" t="s">
        <v>22</v>
      </c>
      <c r="D13" s="1" t="s">
        <v>23</v>
      </c>
      <c r="E13" s="1" t="s">
        <v>22</v>
      </c>
      <c r="F13" s="1" t="s">
        <v>22</v>
      </c>
      <c r="G13" s="1" t="s">
        <v>24</v>
      </c>
      <c r="H13" s="1" t="s">
        <v>23</v>
      </c>
      <c r="I13" s="1" t="s">
        <v>25</v>
      </c>
      <c r="J13" s="1" t="s">
        <v>23</v>
      </c>
      <c r="K13" s="1" t="s">
        <v>26</v>
      </c>
      <c r="L13" s="1" t="s">
        <v>30</v>
      </c>
      <c r="M13" s="1" t="s">
        <v>23</v>
      </c>
      <c r="N13" s="1" t="s">
        <v>28</v>
      </c>
      <c r="O13" s="1" t="s">
        <v>25</v>
      </c>
      <c r="P13" s="1" t="s">
        <v>23</v>
      </c>
      <c r="Q13" s="1" t="s">
        <v>25</v>
      </c>
      <c r="R13" s="1" t="s">
        <v>24</v>
      </c>
      <c r="S13" s="1" t="s">
        <v>24</v>
      </c>
      <c r="T13" s="1" t="s">
        <v>33</v>
      </c>
      <c r="U13">
        <v>87</v>
      </c>
      <c r="V13">
        <v>144</v>
      </c>
      <c r="W13">
        <v>22</v>
      </c>
      <c r="X13">
        <v>24</v>
      </c>
      <c r="Y13" s="53">
        <f t="shared" si="0"/>
        <v>1.6551724137931034</v>
      </c>
      <c r="Z13" s="53">
        <f t="shared" si="1"/>
        <v>0.25287356321839083</v>
      </c>
      <c r="AA13" s="53">
        <f t="shared" si="2"/>
        <v>0.27586206896551724</v>
      </c>
      <c r="AB13" s="53">
        <f t="shared" si="4"/>
        <v>0.15277777777777779</v>
      </c>
      <c r="AC13" s="53">
        <f t="shared" si="5"/>
        <v>0.16666666666666666</v>
      </c>
      <c r="AD13" s="53">
        <f t="shared" si="6"/>
        <v>1.0909090909090908</v>
      </c>
      <c r="AE13" s="53">
        <f t="shared" si="7"/>
        <v>0.60416666666666663</v>
      </c>
      <c r="AF13" s="53">
        <f t="shared" si="3"/>
        <v>3.9545454545454546</v>
      </c>
      <c r="AG13">
        <f t="shared" si="8"/>
        <v>3.625</v>
      </c>
      <c r="AH13">
        <f t="shared" si="9"/>
        <v>6.5454545454545459</v>
      </c>
      <c r="AI13">
        <f t="shared" si="10"/>
        <v>6</v>
      </c>
      <c r="AJ13">
        <f t="shared" si="11"/>
        <v>0.91666666666666663</v>
      </c>
    </row>
    <row r="14" spans="1:36" x14ac:dyDescent="0.2">
      <c r="A14" s="2">
        <v>12</v>
      </c>
      <c r="B14" s="1" t="s">
        <v>21</v>
      </c>
      <c r="C14" s="1" t="s">
        <v>22</v>
      </c>
      <c r="D14" s="1" t="s">
        <v>23</v>
      </c>
      <c r="E14" s="1" t="s">
        <v>22</v>
      </c>
      <c r="F14" s="1" t="s">
        <v>22</v>
      </c>
      <c r="G14" s="1" t="s">
        <v>24</v>
      </c>
      <c r="H14" s="1" t="s">
        <v>23</v>
      </c>
      <c r="I14" s="1" t="s">
        <v>30</v>
      </c>
      <c r="J14" s="1" t="s">
        <v>23</v>
      </c>
      <c r="K14" s="1" t="s">
        <v>26</v>
      </c>
      <c r="L14" s="1" t="s">
        <v>30</v>
      </c>
      <c r="M14" s="1" t="s">
        <v>23</v>
      </c>
      <c r="N14" s="1" t="s">
        <v>28</v>
      </c>
      <c r="O14" s="1" t="s">
        <v>25</v>
      </c>
      <c r="P14" s="1" t="s">
        <v>23</v>
      </c>
      <c r="Q14" s="1" t="s">
        <v>25</v>
      </c>
      <c r="R14" s="1" t="s">
        <v>24</v>
      </c>
      <c r="S14" s="1" t="s">
        <v>24</v>
      </c>
      <c r="T14" s="1" t="s">
        <v>29</v>
      </c>
      <c r="U14">
        <v>88</v>
      </c>
      <c r="V14">
        <v>146</v>
      </c>
      <c r="W14">
        <v>22</v>
      </c>
      <c r="X14">
        <v>23</v>
      </c>
      <c r="Y14" s="53">
        <f t="shared" si="0"/>
        <v>1.6590909090909092</v>
      </c>
      <c r="Z14" s="53">
        <f t="shared" si="1"/>
        <v>0.25</v>
      </c>
      <c r="AA14" s="53">
        <f t="shared" si="2"/>
        <v>0.26136363636363635</v>
      </c>
      <c r="AB14" s="53">
        <f t="shared" si="4"/>
        <v>0.15068493150684931</v>
      </c>
      <c r="AC14" s="53">
        <f t="shared" si="5"/>
        <v>0.15753424657534246</v>
      </c>
      <c r="AD14" s="53">
        <f t="shared" si="6"/>
        <v>1.0454545454545454</v>
      </c>
      <c r="AE14" s="53">
        <f t="shared" si="7"/>
        <v>0.60273972602739723</v>
      </c>
      <c r="AF14" s="53">
        <f t="shared" si="3"/>
        <v>4</v>
      </c>
      <c r="AG14">
        <f t="shared" si="8"/>
        <v>3.8260869565217392</v>
      </c>
      <c r="AH14">
        <f t="shared" si="9"/>
        <v>6.6363636363636367</v>
      </c>
      <c r="AI14">
        <f t="shared" si="10"/>
        <v>6.3478260869565215</v>
      </c>
      <c r="AJ14">
        <f t="shared" si="11"/>
        <v>0.95652173913043481</v>
      </c>
    </row>
    <row r="15" spans="1:36" x14ac:dyDescent="0.2">
      <c r="A15" s="2">
        <v>13</v>
      </c>
      <c r="B15" s="1" t="s">
        <v>21</v>
      </c>
      <c r="C15" s="1" t="s">
        <v>22</v>
      </c>
      <c r="D15" s="1" t="s">
        <v>23</v>
      </c>
      <c r="E15" s="1" t="s">
        <v>26</v>
      </c>
      <c r="F15" s="1" t="s">
        <v>22</v>
      </c>
      <c r="G15" s="1" t="s">
        <v>24</v>
      </c>
      <c r="H15" s="1" t="s">
        <v>23</v>
      </c>
      <c r="I15" s="1" t="s">
        <v>25</v>
      </c>
      <c r="J15" s="1" t="s">
        <v>23</v>
      </c>
      <c r="K15" s="1" t="s">
        <v>26</v>
      </c>
      <c r="L15" s="1" t="s">
        <v>30</v>
      </c>
      <c r="M15" s="1" t="s">
        <v>23</v>
      </c>
      <c r="N15" s="1" t="s">
        <v>28</v>
      </c>
      <c r="O15" s="1" t="s">
        <v>25</v>
      </c>
      <c r="P15" s="1" t="s">
        <v>23</v>
      </c>
      <c r="Q15" s="1" t="s">
        <v>25</v>
      </c>
      <c r="R15" s="1" t="s">
        <v>24</v>
      </c>
      <c r="S15" s="1" t="s">
        <v>24</v>
      </c>
      <c r="T15" s="1" t="s">
        <v>32</v>
      </c>
      <c r="U15">
        <v>88</v>
      </c>
      <c r="V15">
        <v>144</v>
      </c>
      <c r="W15">
        <v>22</v>
      </c>
      <c r="X15">
        <v>24</v>
      </c>
      <c r="Y15" s="53">
        <f t="shared" si="0"/>
        <v>1.6363636363636365</v>
      </c>
      <c r="Z15" s="53">
        <f t="shared" si="1"/>
        <v>0.25</v>
      </c>
      <c r="AA15" s="53">
        <f t="shared" si="2"/>
        <v>0.27272727272727271</v>
      </c>
      <c r="AB15" s="53">
        <f t="shared" si="4"/>
        <v>0.15277777777777779</v>
      </c>
      <c r="AC15" s="53">
        <f t="shared" si="5"/>
        <v>0.16666666666666666</v>
      </c>
      <c r="AD15" s="53">
        <f t="shared" si="6"/>
        <v>1.0909090909090908</v>
      </c>
      <c r="AE15" s="53">
        <f t="shared" si="7"/>
        <v>0.61111111111111116</v>
      </c>
      <c r="AF15" s="53">
        <f t="shared" si="3"/>
        <v>4</v>
      </c>
      <c r="AG15">
        <f t="shared" si="8"/>
        <v>3.6666666666666665</v>
      </c>
      <c r="AH15">
        <f t="shared" si="9"/>
        <v>6.5454545454545459</v>
      </c>
      <c r="AI15">
        <f t="shared" si="10"/>
        <v>6</v>
      </c>
      <c r="AJ15">
        <f t="shared" si="11"/>
        <v>0.91666666666666663</v>
      </c>
    </row>
    <row r="16" spans="1:36" x14ac:dyDescent="0.2">
      <c r="A16" s="2">
        <v>14</v>
      </c>
      <c r="B16" s="1" t="s">
        <v>21</v>
      </c>
      <c r="C16" s="1" t="s">
        <v>22</v>
      </c>
      <c r="D16" s="1" t="s">
        <v>23</v>
      </c>
      <c r="E16" s="1" t="s">
        <v>22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23</v>
      </c>
      <c r="K16" s="1" t="s">
        <v>26</v>
      </c>
      <c r="L16" s="1" t="s">
        <v>25</v>
      </c>
      <c r="M16" s="1" t="s">
        <v>23</v>
      </c>
      <c r="N16" s="1" t="s">
        <v>28</v>
      </c>
      <c r="O16" s="1" t="s">
        <v>25</v>
      </c>
      <c r="P16" s="1" t="s">
        <v>23</v>
      </c>
      <c r="Q16" s="1" t="s">
        <v>23</v>
      </c>
      <c r="R16" s="1" t="s">
        <v>24</v>
      </c>
      <c r="S16" s="1" t="s">
        <v>24</v>
      </c>
      <c r="T16" s="1" t="s">
        <v>29</v>
      </c>
      <c r="U16">
        <v>85</v>
      </c>
      <c r="V16">
        <v>140</v>
      </c>
      <c r="W16">
        <v>22</v>
      </c>
      <c r="X16">
        <v>23</v>
      </c>
      <c r="Y16" s="53">
        <f t="shared" si="0"/>
        <v>1.6470588235294117</v>
      </c>
      <c r="Z16" s="53">
        <f t="shared" si="1"/>
        <v>0.25882352941176473</v>
      </c>
      <c r="AA16" s="53">
        <f t="shared" si="2"/>
        <v>0.27058823529411763</v>
      </c>
      <c r="AB16" s="53">
        <f t="shared" si="4"/>
        <v>0.15714285714285714</v>
      </c>
      <c r="AC16" s="53">
        <f t="shared" si="5"/>
        <v>0.16428571428571428</v>
      </c>
      <c r="AD16" s="53">
        <f t="shared" si="6"/>
        <v>1.0454545454545454</v>
      </c>
      <c r="AE16" s="53">
        <f t="shared" si="7"/>
        <v>0.6071428571428571</v>
      </c>
      <c r="AF16" s="53">
        <f t="shared" si="3"/>
        <v>3.8636363636363638</v>
      </c>
      <c r="AG16">
        <f t="shared" si="8"/>
        <v>3.6956521739130435</v>
      </c>
      <c r="AH16">
        <f t="shared" si="9"/>
        <v>6.3636363636363633</v>
      </c>
      <c r="AI16">
        <f t="shared" si="10"/>
        <v>6.0869565217391308</v>
      </c>
      <c r="AJ16">
        <f t="shared" si="11"/>
        <v>0.95652173913043481</v>
      </c>
    </row>
    <row r="17" spans="1:36" x14ac:dyDescent="0.2">
      <c r="A17" s="2">
        <v>15</v>
      </c>
      <c r="B17" s="1" t="s">
        <v>21</v>
      </c>
      <c r="C17" s="1" t="s">
        <v>22</v>
      </c>
      <c r="D17" s="1" t="s">
        <v>23</v>
      </c>
      <c r="E17" s="1" t="s">
        <v>22</v>
      </c>
      <c r="F17" s="1" t="s">
        <v>22</v>
      </c>
      <c r="G17" s="1" t="s">
        <v>24</v>
      </c>
      <c r="H17" s="1" t="s">
        <v>23</v>
      </c>
      <c r="I17" s="1" t="s">
        <v>25</v>
      </c>
      <c r="J17" s="1" t="s">
        <v>23</v>
      </c>
      <c r="K17" s="1" t="s">
        <v>26</v>
      </c>
      <c r="L17" s="1" t="s">
        <v>30</v>
      </c>
      <c r="M17" s="1" t="s">
        <v>23</v>
      </c>
      <c r="N17" s="1" t="s">
        <v>28</v>
      </c>
      <c r="O17" s="1" t="s">
        <v>25</v>
      </c>
      <c r="P17" s="1" t="s">
        <v>23</v>
      </c>
      <c r="Q17" s="1" t="s">
        <v>23</v>
      </c>
      <c r="R17" s="1" t="s">
        <v>24</v>
      </c>
      <c r="S17" s="1" t="s">
        <v>24</v>
      </c>
      <c r="T17" s="1" t="s">
        <v>32</v>
      </c>
      <c r="U17">
        <v>88</v>
      </c>
      <c r="V17">
        <v>144</v>
      </c>
      <c r="W17">
        <v>22</v>
      </c>
      <c r="X17">
        <v>24</v>
      </c>
      <c r="Y17" s="53">
        <f t="shared" si="0"/>
        <v>1.6363636363636365</v>
      </c>
      <c r="Z17" s="53">
        <f t="shared" si="1"/>
        <v>0.25</v>
      </c>
      <c r="AA17" s="53">
        <f t="shared" si="2"/>
        <v>0.27272727272727271</v>
      </c>
      <c r="AB17" s="53">
        <f t="shared" si="4"/>
        <v>0.15277777777777779</v>
      </c>
      <c r="AC17" s="53">
        <f t="shared" si="5"/>
        <v>0.16666666666666666</v>
      </c>
      <c r="AD17" s="53">
        <f t="shared" si="6"/>
        <v>1.0909090909090908</v>
      </c>
      <c r="AE17" s="53">
        <f t="shared" si="7"/>
        <v>0.61111111111111116</v>
      </c>
      <c r="AF17" s="53">
        <f t="shared" si="3"/>
        <v>4</v>
      </c>
      <c r="AG17">
        <f t="shared" si="8"/>
        <v>3.6666666666666665</v>
      </c>
      <c r="AH17">
        <f t="shared" si="9"/>
        <v>6.5454545454545459</v>
      </c>
      <c r="AI17">
        <f t="shared" si="10"/>
        <v>6</v>
      </c>
      <c r="AJ17">
        <f t="shared" si="11"/>
        <v>0.91666666666666663</v>
      </c>
    </row>
    <row r="18" spans="1:36" x14ac:dyDescent="0.2">
      <c r="A18" s="2">
        <v>16</v>
      </c>
      <c r="B18" s="1" t="s">
        <v>21</v>
      </c>
      <c r="C18" s="1" t="s">
        <v>22</v>
      </c>
      <c r="D18" s="1" t="s">
        <v>23</v>
      </c>
      <c r="E18" s="1" t="s">
        <v>22</v>
      </c>
      <c r="F18" s="1" t="s">
        <v>23</v>
      </c>
      <c r="G18" s="1" t="s">
        <v>24</v>
      </c>
      <c r="H18" s="1" t="s">
        <v>23</v>
      </c>
      <c r="I18" s="1" t="s">
        <v>25</v>
      </c>
      <c r="J18" s="1" t="s">
        <v>23</v>
      </c>
      <c r="K18" s="1" t="s">
        <v>26</v>
      </c>
      <c r="L18" s="1" t="s">
        <v>30</v>
      </c>
      <c r="M18" s="1" t="s">
        <v>23</v>
      </c>
      <c r="N18" s="1" t="s">
        <v>28</v>
      </c>
      <c r="O18" s="1" t="s">
        <v>25</v>
      </c>
      <c r="P18" s="1" t="s">
        <v>23</v>
      </c>
      <c r="Q18" s="1" t="s">
        <v>23</v>
      </c>
      <c r="R18" s="1" t="s">
        <v>24</v>
      </c>
      <c r="S18" s="1" t="s">
        <v>24</v>
      </c>
      <c r="T18" s="1" t="s">
        <v>29</v>
      </c>
      <c r="U18">
        <v>87</v>
      </c>
      <c r="V18">
        <v>144</v>
      </c>
      <c r="W18">
        <v>22</v>
      </c>
      <c r="X18">
        <v>23</v>
      </c>
      <c r="Y18" s="53">
        <f t="shared" si="0"/>
        <v>1.6551724137931034</v>
      </c>
      <c r="Z18" s="53">
        <f t="shared" si="1"/>
        <v>0.25287356321839083</v>
      </c>
      <c r="AA18" s="53">
        <f t="shared" si="2"/>
        <v>0.26436781609195403</v>
      </c>
      <c r="AB18" s="53">
        <f t="shared" si="4"/>
        <v>0.15277777777777779</v>
      </c>
      <c r="AC18" s="53">
        <f t="shared" si="5"/>
        <v>0.15972222222222221</v>
      </c>
      <c r="AD18" s="53">
        <f t="shared" si="6"/>
        <v>1.0454545454545454</v>
      </c>
      <c r="AE18" s="53">
        <f t="shared" si="7"/>
        <v>0.60416666666666663</v>
      </c>
      <c r="AF18" s="53">
        <f t="shared" si="3"/>
        <v>3.9545454545454546</v>
      </c>
      <c r="AG18">
        <f t="shared" si="8"/>
        <v>3.7826086956521738</v>
      </c>
      <c r="AH18">
        <f t="shared" si="9"/>
        <v>6.5454545454545459</v>
      </c>
      <c r="AI18">
        <f t="shared" si="10"/>
        <v>6.2608695652173916</v>
      </c>
      <c r="AJ18">
        <f t="shared" si="11"/>
        <v>0.95652173913043481</v>
      </c>
    </row>
    <row r="19" spans="1:36" x14ac:dyDescent="0.2">
      <c r="A19" s="2">
        <v>17</v>
      </c>
      <c r="B19" s="1" t="s">
        <v>21</v>
      </c>
      <c r="C19" s="1" t="s">
        <v>22</v>
      </c>
      <c r="D19" s="1" t="s">
        <v>23</v>
      </c>
      <c r="E19" s="1" t="s">
        <v>22</v>
      </c>
      <c r="F19" s="1" t="s">
        <v>23</v>
      </c>
      <c r="G19" s="1" t="s">
        <v>24</v>
      </c>
      <c r="H19" s="1" t="s">
        <v>23</v>
      </c>
      <c r="I19" s="1" t="s">
        <v>25</v>
      </c>
      <c r="J19" s="1" t="s">
        <v>23</v>
      </c>
      <c r="K19" s="1" t="s">
        <v>26</v>
      </c>
      <c r="L19" s="1" t="s">
        <v>30</v>
      </c>
      <c r="M19" s="1" t="s">
        <v>23</v>
      </c>
      <c r="N19" s="1" t="s">
        <v>28</v>
      </c>
      <c r="O19" s="1" t="s">
        <v>25</v>
      </c>
      <c r="P19" s="1" t="s">
        <v>23</v>
      </c>
      <c r="Q19" s="1" t="s">
        <v>25</v>
      </c>
      <c r="R19" s="1" t="s">
        <v>24</v>
      </c>
      <c r="S19" s="1" t="s">
        <v>24</v>
      </c>
      <c r="T19" s="1" t="s">
        <v>29</v>
      </c>
      <c r="U19">
        <v>88</v>
      </c>
      <c r="V19">
        <v>146</v>
      </c>
      <c r="W19">
        <v>22</v>
      </c>
      <c r="X19">
        <v>23</v>
      </c>
      <c r="Y19" s="53">
        <f t="shared" si="0"/>
        <v>1.6590909090909092</v>
      </c>
      <c r="Z19" s="53">
        <f t="shared" si="1"/>
        <v>0.25</v>
      </c>
      <c r="AA19" s="53">
        <f t="shared" si="2"/>
        <v>0.26136363636363635</v>
      </c>
      <c r="AB19" s="53">
        <f t="shared" si="4"/>
        <v>0.15068493150684931</v>
      </c>
      <c r="AC19" s="53">
        <f t="shared" si="5"/>
        <v>0.15753424657534246</v>
      </c>
      <c r="AD19" s="53">
        <f t="shared" si="6"/>
        <v>1.0454545454545454</v>
      </c>
      <c r="AE19" s="53">
        <f t="shared" si="7"/>
        <v>0.60273972602739723</v>
      </c>
      <c r="AF19" s="53">
        <f t="shared" si="3"/>
        <v>4</v>
      </c>
      <c r="AG19">
        <f t="shared" si="8"/>
        <v>3.8260869565217392</v>
      </c>
      <c r="AH19">
        <f t="shared" si="9"/>
        <v>6.6363636363636367</v>
      </c>
      <c r="AI19">
        <f t="shared" si="10"/>
        <v>6.3478260869565215</v>
      </c>
      <c r="AJ19">
        <f t="shared" si="11"/>
        <v>0.95652173913043481</v>
      </c>
    </row>
    <row r="20" spans="1:36" x14ac:dyDescent="0.2">
      <c r="A20" s="2">
        <v>18</v>
      </c>
      <c r="B20" s="1" t="s">
        <v>21</v>
      </c>
      <c r="C20" s="1" t="s">
        <v>22</v>
      </c>
      <c r="D20" s="1" t="s">
        <v>23</v>
      </c>
      <c r="E20" s="1" t="s">
        <v>22</v>
      </c>
      <c r="F20" s="1" t="s">
        <v>22</v>
      </c>
      <c r="G20" s="1" t="s">
        <v>24</v>
      </c>
      <c r="H20" s="1" t="s">
        <v>23</v>
      </c>
      <c r="I20" s="1" t="s">
        <v>25</v>
      </c>
      <c r="J20" s="1" t="s">
        <v>23</v>
      </c>
      <c r="K20" s="1" t="s">
        <v>26</v>
      </c>
      <c r="L20" s="1" t="s">
        <v>30</v>
      </c>
      <c r="M20" s="1" t="s">
        <v>23</v>
      </c>
      <c r="N20" s="1" t="s">
        <v>28</v>
      </c>
      <c r="O20" s="1" t="s">
        <v>25</v>
      </c>
      <c r="P20" s="1" t="s">
        <v>23</v>
      </c>
      <c r="Q20" s="1" t="s">
        <v>23</v>
      </c>
      <c r="R20" s="1" t="s">
        <v>34</v>
      </c>
      <c r="S20" s="1" t="s">
        <v>24</v>
      </c>
      <c r="T20" s="1" t="s">
        <v>29</v>
      </c>
      <c r="U20">
        <v>87</v>
      </c>
      <c r="V20">
        <v>143</v>
      </c>
      <c r="W20">
        <v>21</v>
      </c>
      <c r="X20">
        <v>24</v>
      </c>
      <c r="Y20" s="53">
        <f t="shared" si="0"/>
        <v>1.6436781609195403</v>
      </c>
      <c r="Z20" s="53">
        <f t="shared" si="1"/>
        <v>0.2413793103448276</v>
      </c>
      <c r="AA20" s="53">
        <f t="shared" si="2"/>
        <v>0.27586206896551724</v>
      </c>
      <c r="AB20" s="53">
        <f t="shared" si="4"/>
        <v>0.14685314685314685</v>
      </c>
      <c r="AC20" s="53">
        <f t="shared" si="5"/>
        <v>0.16783216783216784</v>
      </c>
      <c r="AD20" s="53">
        <f t="shared" si="6"/>
        <v>1.1428571428571428</v>
      </c>
      <c r="AE20" s="53">
        <f t="shared" si="7"/>
        <v>0.60839160839160844</v>
      </c>
      <c r="AF20" s="53">
        <f t="shared" si="3"/>
        <v>4.1428571428571432</v>
      </c>
      <c r="AG20">
        <f t="shared" si="8"/>
        <v>3.625</v>
      </c>
      <c r="AH20">
        <f t="shared" si="9"/>
        <v>6.8095238095238093</v>
      </c>
      <c r="AI20">
        <f t="shared" si="10"/>
        <v>5.958333333333333</v>
      </c>
      <c r="AJ20">
        <f t="shared" si="11"/>
        <v>0.875</v>
      </c>
    </row>
    <row r="21" spans="1:36" x14ac:dyDescent="0.2">
      <c r="A21" s="2">
        <v>19</v>
      </c>
      <c r="B21" s="1" t="s">
        <v>21</v>
      </c>
      <c r="C21" s="1" t="s">
        <v>22</v>
      </c>
      <c r="D21" s="1" t="s">
        <v>23</v>
      </c>
      <c r="E21" s="1" t="s">
        <v>22</v>
      </c>
      <c r="F21" s="1" t="s">
        <v>22</v>
      </c>
      <c r="G21" s="1" t="s">
        <v>24</v>
      </c>
      <c r="H21" s="1" t="s">
        <v>23</v>
      </c>
      <c r="I21" s="1" t="s">
        <v>25</v>
      </c>
      <c r="J21" s="1" t="s">
        <v>23</v>
      </c>
      <c r="K21" s="1" t="s">
        <v>26</v>
      </c>
      <c r="L21" s="1" t="s">
        <v>30</v>
      </c>
      <c r="M21" s="1" t="s">
        <v>23</v>
      </c>
      <c r="N21" s="1" t="s">
        <v>28</v>
      </c>
      <c r="O21" s="1" t="s">
        <v>25</v>
      </c>
      <c r="P21" s="1" t="s">
        <v>23</v>
      </c>
      <c r="Q21" s="1" t="s">
        <v>25</v>
      </c>
      <c r="R21" s="1" t="s">
        <v>31</v>
      </c>
      <c r="S21" s="1" t="s">
        <v>24</v>
      </c>
      <c r="T21" s="1" t="s">
        <v>29</v>
      </c>
      <c r="U21">
        <v>87</v>
      </c>
      <c r="V21">
        <v>143</v>
      </c>
      <c r="W21">
        <v>21</v>
      </c>
      <c r="X21">
        <v>24</v>
      </c>
      <c r="Y21" s="53">
        <f t="shared" si="0"/>
        <v>1.6436781609195403</v>
      </c>
      <c r="Z21" s="53">
        <f t="shared" si="1"/>
        <v>0.2413793103448276</v>
      </c>
      <c r="AA21" s="53">
        <f t="shared" si="2"/>
        <v>0.27586206896551724</v>
      </c>
      <c r="AB21" s="53">
        <f t="shared" si="4"/>
        <v>0.14685314685314685</v>
      </c>
      <c r="AC21" s="53">
        <f t="shared" si="5"/>
        <v>0.16783216783216784</v>
      </c>
      <c r="AD21" s="53">
        <f t="shared" si="6"/>
        <v>1.1428571428571428</v>
      </c>
      <c r="AE21" s="53">
        <f t="shared" si="7"/>
        <v>0.60839160839160844</v>
      </c>
      <c r="AF21" s="53">
        <f t="shared" si="3"/>
        <v>4.1428571428571432</v>
      </c>
      <c r="AG21">
        <f t="shared" si="8"/>
        <v>3.625</v>
      </c>
      <c r="AH21">
        <f t="shared" si="9"/>
        <v>6.8095238095238093</v>
      </c>
      <c r="AI21">
        <f t="shared" si="10"/>
        <v>5.958333333333333</v>
      </c>
      <c r="AJ21">
        <f t="shared" si="11"/>
        <v>0.875</v>
      </c>
    </row>
    <row r="22" spans="1:36" x14ac:dyDescent="0.2">
      <c r="A22" s="2">
        <v>20</v>
      </c>
      <c r="B22" s="1" t="s">
        <v>21</v>
      </c>
      <c r="C22" s="1" t="s">
        <v>22</v>
      </c>
      <c r="D22" s="1" t="s">
        <v>23</v>
      </c>
      <c r="E22" s="1" t="s">
        <v>22</v>
      </c>
      <c r="F22" s="1" t="s">
        <v>22</v>
      </c>
      <c r="G22" s="1" t="s">
        <v>34</v>
      </c>
      <c r="H22" s="1" t="s">
        <v>23</v>
      </c>
      <c r="I22" s="1" t="s">
        <v>25</v>
      </c>
      <c r="J22" s="1" t="s">
        <v>23</v>
      </c>
      <c r="K22" s="1" t="s">
        <v>26</v>
      </c>
      <c r="L22" s="1" t="s">
        <v>30</v>
      </c>
      <c r="M22" s="1" t="s">
        <v>23</v>
      </c>
      <c r="N22" s="1" t="s">
        <v>28</v>
      </c>
      <c r="O22" s="1" t="s">
        <v>25</v>
      </c>
      <c r="P22" s="1" t="s">
        <v>23</v>
      </c>
      <c r="Q22" s="1" t="s">
        <v>23</v>
      </c>
      <c r="R22" s="1" t="s">
        <v>34</v>
      </c>
      <c r="S22" s="1" t="s">
        <v>24</v>
      </c>
      <c r="T22" s="1" t="s">
        <v>29</v>
      </c>
      <c r="U22">
        <v>88</v>
      </c>
      <c r="V22">
        <v>144</v>
      </c>
      <c r="W22">
        <v>20</v>
      </c>
      <c r="X22">
        <v>25</v>
      </c>
      <c r="Y22" s="53">
        <f t="shared" si="0"/>
        <v>1.6363636363636365</v>
      </c>
      <c r="Z22" s="53">
        <f t="shared" si="1"/>
        <v>0.22727272727272727</v>
      </c>
      <c r="AA22" s="53">
        <f t="shared" si="2"/>
        <v>0.28409090909090912</v>
      </c>
      <c r="AB22" s="53">
        <f t="shared" si="4"/>
        <v>0.1388888888888889</v>
      </c>
      <c r="AC22" s="53">
        <f t="shared" si="5"/>
        <v>0.1736111111111111</v>
      </c>
      <c r="AD22" s="53">
        <f t="shared" si="6"/>
        <v>1.25</v>
      </c>
      <c r="AE22" s="53">
        <f t="shared" si="7"/>
        <v>0.61111111111111116</v>
      </c>
      <c r="AF22" s="53">
        <f t="shared" si="3"/>
        <v>4.4000000000000004</v>
      </c>
      <c r="AG22">
        <f t="shared" si="8"/>
        <v>3.52</v>
      </c>
      <c r="AH22">
        <f t="shared" si="9"/>
        <v>7.2</v>
      </c>
      <c r="AI22">
        <f t="shared" si="10"/>
        <v>5.76</v>
      </c>
      <c r="AJ22">
        <f t="shared" si="11"/>
        <v>0.8</v>
      </c>
    </row>
    <row r="23" spans="1:36" x14ac:dyDescent="0.2">
      <c r="A23" s="2">
        <v>21</v>
      </c>
      <c r="B23" s="1" t="s">
        <v>21</v>
      </c>
      <c r="C23" s="1" t="s">
        <v>22</v>
      </c>
      <c r="D23" s="1" t="s">
        <v>23</v>
      </c>
      <c r="E23" s="1" t="s">
        <v>22</v>
      </c>
      <c r="F23" s="1" t="s">
        <v>22</v>
      </c>
      <c r="G23" s="1" t="s">
        <v>34</v>
      </c>
      <c r="H23" s="1" t="s">
        <v>23</v>
      </c>
      <c r="I23" s="1" t="s">
        <v>25</v>
      </c>
      <c r="J23" s="1" t="s">
        <v>23</v>
      </c>
      <c r="K23" s="1" t="s">
        <v>26</v>
      </c>
      <c r="L23" s="1" t="s">
        <v>30</v>
      </c>
      <c r="M23" s="1" t="s">
        <v>23</v>
      </c>
      <c r="N23" s="1" t="s">
        <v>28</v>
      </c>
      <c r="O23" s="1" t="s">
        <v>25</v>
      </c>
      <c r="P23" s="1" t="s">
        <v>23</v>
      </c>
      <c r="Q23" s="1" t="s">
        <v>25</v>
      </c>
      <c r="R23" s="1" t="s">
        <v>24</v>
      </c>
      <c r="S23" s="1" t="s">
        <v>24</v>
      </c>
      <c r="T23" s="1" t="s">
        <v>32</v>
      </c>
      <c r="U23">
        <v>90</v>
      </c>
      <c r="V23">
        <v>147</v>
      </c>
      <c r="W23">
        <v>21</v>
      </c>
      <c r="X23">
        <v>25</v>
      </c>
      <c r="Y23" s="53">
        <f t="shared" si="0"/>
        <v>1.6333333333333333</v>
      </c>
      <c r="Z23" s="53">
        <f t="shared" si="1"/>
        <v>0.23333333333333334</v>
      </c>
      <c r="AA23" s="53">
        <f t="shared" si="2"/>
        <v>0.27777777777777779</v>
      </c>
      <c r="AB23" s="53">
        <f t="shared" si="4"/>
        <v>0.14285714285714285</v>
      </c>
      <c r="AC23" s="53">
        <f t="shared" si="5"/>
        <v>0.17006802721088435</v>
      </c>
      <c r="AD23" s="53">
        <f t="shared" si="6"/>
        <v>1.1904761904761905</v>
      </c>
      <c r="AE23" s="53">
        <f t="shared" si="7"/>
        <v>0.61224489795918369</v>
      </c>
      <c r="AF23" s="53">
        <f t="shared" si="3"/>
        <v>4.2857142857142856</v>
      </c>
      <c r="AG23">
        <f t="shared" si="8"/>
        <v>3.6</v>
      </c>
      <c r="AH23">
        <f t="shared" si="9"/>
        <v>7</v>
      </c>
      <c r="AI23">
        <f t="shared" si="10"/>
        <v>5.88</v>
      </c>
      <c r="AJ23">
        <f t="shared" si="11"/>
        <v>0.84</v>
      </c>
    </row>
    <row r="24" spans="1:36" x14ac:dyDescent="0.2">
      <c r="A24" s="2">
        <v>22</v>
      </c>
      <c r="B24" s="1" t="s">
        <v>21</v>
      </c>
      <c r="C24" s="1" t="s">
        <v>22</v>
      </c>
      <c r="D24" s="1" t="s">
        <v>23</v>
      </c>
      <c r="E24" s="1" t="s">
        <v>22</v>
      </c>
      <c r="F24" s="1" t="s">
        <v>23</v>
      </c>
      <c r="G24" s="1" t="s">
        <v>24</v>
      </c>
      <c r="H24" s="1" t="s">
        <v>23</v>
      </c>
      <c r="I24" s="1" t="s">
        <v>25</v>
      </c>
      <c r="J24" s="1" t="s">
        <v>23</v>
      </c>
      <c r="K24" s="1" t="s">
        <v>26</v>
      </c>
      <c r="L24" s="1" t="s">
        <v>30</v>
      </c>
      <c r="M24" s="1" t="s">
        <v>23</v>
      </c>
      <c r="N24" s="1" t="s">
        <v>28</v>
      </c>
      <c r="O24" s="1" t="s">
        <v>25</v>
      </c>
      <c r="P24" s="1" t="s">
        <v>23</v>
      </c>
      <c r="Q24" s="1" t="s">
        <v>25</v>
      </c>
      <c r="R24" s="1" t="s">
        <v>34</v>
      </c>
      <c r="S24" s="1" t="s">
        <v>24</v>
      </c>
      <c r="T24" s="1" t="s">
        <v>29</v>
      </c>
      <c r="U24">
        <v>89</v>
      </c>
      <c r="V24">
        <v>147</v>
      </c>
      <c r="W24">
        <v>21</v>
      </c>
      <c r="X24">
        <v>24</v>
      </c>
      <c r="Y24" s="53">
        <f t="shared" si="0"/>
        <v>1.651685393258427</v>
      </c>
      <c r="Z24" s="53">
        <f t="shared" si="1"/>
        <v>0.23595505617977527</v>
      </c>
      <c r="AA24" s="53">
        <f t="shared" si="2"/>
        <v>0.2696629213483146</v>
      </c>
      <c r="AB24" s="53">
        <f t="shared" si="4"/>
        <v>0.14285714285714285</v>
      </c>
      <c r="AC24" s="53">
        <f t="shared" si="5"/>
        <v>0.16326530612244897</v>
      </c>
      <c r="AD24" s="53">
        <f t="shared" si="6"/>
        <v>1.1428571428571428</v>
      </c>
      <c r="AE24" s="53">
        <f t="shared" si="7"/>
        <v>0.60544217687074831</v>
      </c>
      <c r="AF24" s="53">
        <f t="shared" si="3"/>
        <v>4.2380952380952381</v>
      </c>
      <c r="AG24">
        <f t="shared" si="8"/>
        <v>3.7083333333333335</v>
      </c>
      <c r="AH24">
        <f t="shared" si="9"/>
        <v>7</v>
      </c>
      <c r="AI24">
        <f t="shared" si="10"/>
        <v>6.125</v>
      </c>
      <c r="AJ24">
        <f t="shared" si="11"/>
        <v>0.875</v>
      </c>
    </row>
    <row r="25" spans="1:36" x14ac:dyDescent="0.2">
      <c r="A25" s="2">
        <v>23</v>
      </c>
      <c r="B25" s="1" t="s">
        <v>21</v>
      </c>
      <c r="C25" s="1" t="s">
        <v>22</v>
      </c>
      <c r="D25" s="1" t="s">
        <v>23</v>
      </c>
      <c r="E25" s="1" t="s">
        <v>22</v>
      </c>
      <c r="F25" s="1" t="s">
        <v>22</v>
      </c>
      <c r="G25" s="1" t="s">
        <v>24</v>
      </c>
      <c r="H25" s="1" t="s">
        <v>23</v>
      </c>
      <c r="I25" s="1" t="s">
        <v>25</v>
      </c>
      <c r="J25" s="1" t="s">
        <v>23</v>
      </c>
      <c r="K25" s="1" t="s">
        <v>26</v>
      </c>
      <c r="L25" s="1" t="s">
        <v>30</v>
      </c>
      <c r="M25" s="1" t="s">
        <v>23</v>
      </c>
      <c r="N25" s="1" t="s">
        <v>28</v>
      </c>
      <c r="O25" s="1" t="s">
        <v>25</v>
      </c>
      <c r="P25" s="1" t="s">
        <v>23</v>
      </c>
      <c r="Q25" s="1" t="s">
        <v>25</v>
      </c>
      <c r="R25" s="1" t="s">
        <v>34</v>
      </c>
      <c r="S25" s="1" t="s">
        <v>24</v>
      </c>
      <c r="T25" s="1" t="s">
        <v>29</v>
      </c>
      <c r="U25">
        <v>88</v>
      </c>
      <c r="V25">
        <v>145</v>
      </c>
      <c r="W25">
        <v>21</v>
      </c>
      <c r="X25">
        <v>24</v>
      </c>
      <c r="Y25" s="53">
        <f t="shared" si="0"/>
        <v>1.6477272727272727</v>
      </c>
      <c r="Z25" s="53">
        <f t="shared" si="1"/>
        <v>0.23863636363636365</v>
      </c>
      <c r="AA25" s="53">
        <f t="shared" si="2"/>
        <v>0.27272727272727271</v>
      </c>
      <c r="AB25" s="53">
        <f t="shared" si="4"/>
        <v>0.14482758620689656</v>
      </c>
      <c r="AC25" s="53">
        <f t="shared" si="5"/>
        <v>0.16551724137931034</v>
      </c>
      <c r="AD25" s="53">
        <f t="shared" si="6"/>
        <v>1.1428571428571428</v>
      </c>
      <c r="AE25" s="53">
        <f t="shared" si="7"/>
        <v>0.60689655172413792</v>
      </c>
      <c r="AF25" s="53">
        <f t="shared" si="3"/>
        <v>4.1904761904761907</v>
      </c>
      <c r="AG25">
        <f t="shared" si="8"/>
        <v>3.6666666666666665</v>
      </c>
      <c r="AH25">
        <f t="shared" si="9"/>
        <v>6.9047619047619051</v>
      </c>
      <c r="AI25">
        <f t="shared" si="10"/>
        <v>6.041666666666667</v>
      </c>
      <c r="AJ25">
        <f t="shared" si="11"/>
        <v>0.875</v>
      </c>
    </row>
    <row r="26" spans="1:36" x14ac:dyDescent="0.2">
      <c r="A26" s="2">
        <v>24</v>
      </c>
      <c r="B26" s="1" t="s">
        <v>21</v>
      </c>
      <c r="C26" s="1" t="s">
        <v>22</v>
      </c>
      <c r="D26" s="1" t="s">
        <v>23</v>
      </c>
      <c r="E26" s="1" t="s">
        <v>22</v>
      </c>
      <c r="F26" s="1" t="s">
        <v>22</v>
      </c>
      <c r="G26" s="1" t="s">
        <v>24</v>
      </c>
      <c r="H26" s="1" t="s">
        <v>23</v>
      </c>
      <c r="I26" s="1" t="s">
        <v>25</v>
      </c>
      <c r="J26" s="1" t="s">
        <v>23</v>
      </c>
      <c r="K26" s="1" t="s">
        <v>26</v>
      </c>
      <c r="L26" s="1" t="s">
        <v>30</v>
      </c>
      <c r="M26" s="1" t="s">
        <v>23</v>
      </c>
      <c r="N26" s="1" t="s">
        <v>28</v>
      </c>
      <c r="O26" s="1" t="s">
        <v>25</v>
      </c>
      <c r="P26" s="1" t="s">
        <v>23</v>
      </c>
      <c r="Q26" s="1" t="s">
        <v>23</v>
      </c>
      <c r="R26" s="1" t="s">
        <v>31</v>
      </c>
      <c r="S26" s="1" t="s">
        <v>24</v>
      </c>
      <c r="T26" s="1" t="s">
        <v>32</v>
      </c>
      <c r="U26">
        <v>88</v>
      </c>
      <c r="V26">
        <v>143</v>
      </c>
      <c r="W26">
        <v>21</v>
      </c>
      <c r="X26">
        <v>25</v>
      </c>
      <c r="Y26" s="53">
        <f t="shared" si="0"/>
        <v>1.625</v>
      </c>
      <c r="Z26" s="53">
        <f t="shared" si="1"/>
        <v>0.23863636363636365</v>
      </c>
      <c r="AA26" s="53">
        <f t="shared" si="2"/>
        <v>0.28409090909090912</v>
      </c>
      <c r="AB26" s="53">
        <f t="shared" si="4"/>
        <v>0.14685314685314685</v>
      </c>
      <c r="AC26" s="53">
        <f t="shared" si="5"/>
        <v>0.17482517482517482</v>
      </c>
      <c r="AD26" s="53">
        <f t="shared" si="6"/>
        <v>1.1904761904761905</v>
      </c>
      <c r="AE26" s="53">
        <f t="shared" si="7"/>
        <v>0.61538461538461542</v>
      </c>
      <c r="AF26" s="53">
        <f t="shared" si="3"/>
        <v>4.1904761904761907</v>
      </c>
      <c r="AG26">
        <f t="shared" si="8"/>
        <v>3.52</v>
      </c>
      <c r="AH26">
        <f t="shared" si="9"/>
        <v>6.8095238095238093</v>
      </c>
      <c r="AI26">
        <f t="shared" si="10"/>
        <v>5.72</v>
      </c>
      <c r="AJ26">
        <f t="shared" si="11"/>
        <v>0.84</v>
      </c>
    </row>
    <row r="27" spans="1:36" x14ac:dyDescent="0.2">
      <c r="A27" s="2">
        <v>25</v>
      </c>
      <c r="B27" s="1" t="s">
        <v>21</v>
      </c>
      <c r="C27" s="1" t="s">
        <v>22</v>
      </c>
      <c r="D27" s="1" t="s">
        <v>23</v>
      </c>
      <c r="E27" s="1" t="s">
        <v>22</v>
      </c>
      <c r="F27" s="1" t="s">
        <v>22</v>
      </c>
      <c r="G27" s="1" t="s">
        <v>24</v>
      </c>
      <c r="H27" s="1" t="s">
        <v>23</v>
      </c>
      <c r="I27" s="1" t="s">
        <v>25</v>
      </c>
      <c r="J27" s="1" t="s">
        <v>23</v>
      </c>
      <c r="K27" s="1" t="s">
        <v>26</v>
      </c>
      <c r="L27" s="1" t="s">
        <v>30</v>
      </c>
      <c r="M27" s="1" t="s">
        <v>23</v>
      </c>
      <c r="N27" s="1" t="s">
        <v>28</v>
      </c>
      <c r="O27" s="1" t="s">
        <v>25</v>
      </c>
      <c r="P27" s="1" t="s">
        <v>23</v>
      </c>
      <c r="Q27" s="1" t="s">
        <v>25</v>
      </c>
      <c r="R27" s="1" t="s">
        <v>24</v>
      </c>
      <c r="S27" s="1" t="s">
        <v>24</v>
      </c>
      <c r="T27" s="1" t="s">
        <v>32</v>
      </c>
      <c r="U27">
        <v>89</v>
      </c>
      <c r="V27">
        <v>146</v>
      </c>
      <c r="W27">
        <v>22</v>
      </c>
      <c r="X27">
        <v>24</v>
      </c>
      <c r="Y27" s="53">
        <f t="shared" si="0"/>
        <v>1.6404494382022472</v>
      </c>
      <c r="Z27" s="53">
        <f t="shared" si="1"/>
        <v>0.24719101123595505</v>
      </c>
      <c r="AA27" s="53">
        <f t="shared" si="2"/>
        <v>0.2696629213483146</v>
      </c>
      <c r="AB27" s="53">
        <f t="shared" si="4"/>
        <v>0.15068493150684931</v>
      </c>
      <c r="AC27" s="53">
        <f t="shared" si="5"/>
        <v>0.16438356164383561</v>
      </c>
      <c r="AD27" s="53">
        <f t="shared" si="6"/>
        <v>1.0909090909090908</v>
      </c>
      <c r="AE27" s="53">
        <f t="shared" si="7"/>
        <v>0.6095890410958904</v>
      </c>
      <c r="AF27" s="53">
        <f t="shared" si="3"/>
        <v>4.0454545454545459</v>
      </c>
      <c r="AG27">
        <f t="shared" si="8"/>
        <v>3.7083333333333335</v>
      </c>
      <c r="AH27">
        <f t="shared" si="9"/>
        <v>6.6363636363636367</v>
      </c>
      <c r="AI27">
        <f t="shared" si="10"/>
        <v>6.083333333333333</v>
      </c>
      <c r="AJ27">
        <f t="shared" si="11"/>
        <v>0.91666666666666663</v>
      </c>
    </row>
    <row r="28" spans="1:36" x14ac:dyDescent="0.2">
      <c r="A28" s="2">
        <v>26</v>
      </c>
      <c r="B28" s="1" t="s">
        <v>21</v>
      </c>
      <c r="C28" s="1" t="s">
        <v>22</v>
      </c>
      <c r="D28" s="1" t="s">
        <v>23</v>
      </c>
      <c r="E28" s="1" t="s">
        <v>22</v>
      </c>
      <c r="F28" s="1" t="s">
        <v>22</v>
      </c>
      <c r="G28" s="1" t="s">
        <v>31</v>
      </c>
      <c r="H28" s="1" t="s">
        <v>23</v>
      </c>
      <c r="I28" s="1" t="s">
        <v>25</v>
      </c>
      <c r="J28" s="1" t="s">
        <v>23</v>
      </c>
      <c r="K28" s="1" t="s">
        <v>26</v>
      </c>
      <c r="L28" s="1" t="s">
        <v>30</v>
      </c>
      <c r="M28" s="1" t="s">
        <v>23</v>
      </c>
      <c r="N28" s="1" t="s">
        <v>28</v>
      </c>
      <c r="O28" s="1" t="s">
        <v>25</v>
      </c>
      <c r="P28" s="1" t="s">
        <v>23</v>
      </c>
      <c r="Q28" s="1" t="s">
        <v>23</v>
      </c>
      <c r="R28" s="1" t="s">
        <v>31</v>
      </c>
      <c r="S28" s="1" t="s">
        <v>24</v>
      </c>
      <c r="T28" s="1" t="s">
        <v>29</v>
      </c>
      <c r="U28">
        <v>86</v>
      </c>
      <c r="V28">
        <v>140</v>
      </c>
      <c r="W28">
        <v>20</v>
      </c>
      <c r="X28">
        <v>25</v>
      </c>
      <c r="Y28" s="53">
        <f t="shared" si="0"/>
        <v>1.6279069767441861</v>
      </c>
      <c r="Z28" s="53">
        <f t="shared" si="1"/>
        <v>0.23255813953488372</v>
      </c>
      <c r="AA28" s="53">
        <f t="shared" si="2"/>
        <v>0.29069767441860467</v>
      </c>
      <c r="AB28" s="53">
        <f t="shared" si="4"/>
        <v>0.14285714285714285</v>
      </c>
      <c r="AC28" s="53">
        <f t="shared" si="5"/>
        <v>0.17857142857142858</v>
      </c>
      <c r="AD28" s="53">
        <f t="shared" si="6"/>
        <v>1.25</v>
      </c>
      <c r="AE28" s="53">
        <f t="shared" si="7"/>
        <v>0.61428571428571432</v>
      </c>
      <c r="AF28" s="53">
        <f t="shared" si="3"/>
        <v>4.3</v>
      </c>
      <c r="AG28">
        <f t="shared" si="8"/>
        <v>3.44</v>
      </c>
      <c r="AH28">
        <f t="shared" si="9"/>
        <v>7</v>
      </c>
      <c r="AI28">
        <f t="shared" si="10"/>
        <v>5.6</v>
      </c>
      <c r="AJ28">
        <f t="shared" si="11"/>
        <v>0.8</v>
      </c>
    </row>
    <row r="29" spans="1:36" x14ac:dyDescent="0.2">
      <c r="A29" s="2">
        <v>27</v>
      </c>
      <c r="B29" s="1" t="s">
        <v>21</v>
      </c>
      <c r="C29" s="1" t="s">
        <v>22</v>
      </c>
      <c r="D29" s="1" t="s">
        <v>23</v>
      </c>
      <c r="E29" s="1" t="s">
        <v>22</v>
      </c>
      <c r="F29" s="1" t="s">
        <v>22</v>
      </c>
      <c r="G29" s="1" t="s">
        <v>24</v>
      </c>
      <c r="H29" s="1" t="s">
        <v>23</v>
      </c>
      <c r="I29" s="1" t="s">
        <v>30</v>
      </c>
      <c r="J29" s="1" t="s">
        <v>23</v>
      </c>
      <c r="K29" s="1" t="s">
        <v>26</v>
      </c>
      <c r="L29" s="1" t="s">
        <v>30</v>
      </c>
      <c r="M29" s="1" t="s">
        <v>23</v>
      </c>
      <c r="N29" s="1" t="s">
        <v>28</v>
      </c>
      <c r="O29" s="1" t="s">
        <v>25</v>
      </c>
      <c r="P29" s="1" t="s">
        <v>23</v>
      </c>
      <c r="Q29" s="1" t="s">
        <v>25</v>
      </c>
      <c r="R29" s="1" t="s">
        <v>24</v>
      </c>
      <c r="S29" s="1" t="s">
        <v>24</v>
      </c>
      <c r="T29" s="1" t="s">
        <v>32</v>
      </c>
      <c r="U29">
        <v>90</v>
      </c>
      <c r="V29">
        <v>148</v>
      </c>
      <c r="W29">
        <v>22</v>
      </c>
      <c r="X29">
        <v>24</v>
      </c>
      <c r="Y29" s="53">
        <f t="shared" si="0"/>
        <v>1.6444444444444444</v>
      </c>
      <c r="Z29" s="53">
        <f t="shared" si="1"/>
        <v>0.24444444444444444</v>
      </c>
      <c r="AA29" s="53">
        <f t="shared" si="2"/>
        <v>0.26666666666666666</v>
      </c>
      <c r="AB29" s="53">
        <f t="shared" si="4"/>
        <v>0.14864864864864866</v>
      </c>
      <c r="AC29" s="53">
        <f t="shared" si="5"/>
        <v>0.16216216216216217</v>
      </c>
      <c r="AD29" s="53">
        <f t="shared" si="6"/>
        <v>1.0909090909090908</v>
      </c>
      <c r="AE29" s="53">
        <f t="shared" si="7"/>
        <v>0.60810810810810811</v>
      </c>
      <c r="AF29" s="53">
        <f t="shared" si="3"/>
        <v>4.0909090909090908</v>
      </c>
      <c r="AG29">
        <f t="shared" si="8"/>
        <v>3.75</v>
      </c>
      <c r="AH29">
        <f t="shared" si="9"/>
        <v>6.7272727272727275</v>
      </c>
      <c r="AI29">
        <f t="shared" si="10"/>
        <v>6.166666666666667</v>
      </c>
      <c r="AJ29">
        <f t="shared" si="11"/>
        <v>0.91666666666666663</v>
      </c>
    </row>
    <row r="30" spans="1:36" x14ac:dyDescent="0.2">
      <c r="A30" s="2">
        <v>28</v>
      </c>
      <c r="B30" s="1" t="s">
        <v>21</v>
      </c>
      <c r="C30" s="1" t="s">
        <v>22</v>
      </c>
      <c r="D30" s="1" t="s">
        <v>23</v>
      </c>
      <c r="E30" s="1" t="s">
        <v>22</v>
      </c>
      <c r="F30" s="1" t="s">
        <v>22</v>
      </c>
      <c r="G30" s="1" t="s">
        <v>24</v>
      </c>
      <c r="H30" s="1" t="s">
        <v>23</v>
      </c>
      <c r="I30" s="1" t="s">
        <v>25</v>
      </c>
      <c r="J30" s="1" t="s">
        <v>23</v>
      </c>
      <c r="K30" s="1" t="s">
        <v>26</v>
      </c>
      <c r="L30" s="1" t="s">
        <v>30</v>
      </c>
      <c r="M30" s="1" t="s">
        <v>23</v>
      </c>
      <c r="N30" s="1" t="s">
        <v>28</v>
      </c>
      <c r="O30" s="1" t="s">
        <v>25</v>
      </c>
      <c r="P30" s="1" t="s">
        <v>23</v>
      </c>
      <c r="Q30" s="1" t="s">
        <v>23</v>
      </c>
      <c r="R30" s="1" t="s">
        <v>24</v>
      </c>
      <c r="S30" s="1" t="s">
        <v>31</v>
      </c>
      <c r="T30" s="1" t="s">
        <v>32</v>
      </c>
      <c r="U30">
        <v>88</v>
      </c>
      <c r="V30">
        <v>143</v>
      </c>
      <c r="W30">
        <v>21</v>
      </c>
      <c r="X30">
        <v>25</v>
      </c>
      <c r="Y30" s="53">
        <f t="shared" si="0"/>
        <v>1.625</v>
      </c>
      <c r="Z30" s="53">
        <f t="shared" si="1"/>
        <v>0.23863636363636365</v>
      </c>
      <c r="AA30" s="53">
        <f t="shared" si="2"/>
        <v>0.28409090909090912</v>
      </c>
      <c r="AB30" s="53">
        <f t="shared" si="4"/>
        <v>0.14685314685314685</v>
      </c>
      <c r="AC30" s="53">
        <f t="shared" si="5"/>
        <v>0.17482517482517482</v>
      </c>
      <c r="AD30" s="53">
        <f t="shared" si="6"/>
        <v>1.1904761904761905</v>
      </c>
      <c r="AE30" s="53">
        <f t="shared" si="7"/>
        <v>0.61538461538461542</v>
      </c>
      <c r="AF30" s="53">
        <f t="shared" si="3"/>
        <v>4.1904761904761907</v>
      </c>
      <c r="AG30">
        <f t="shared" si="8"/>
        <v>3.52</v>
      </c>
      <c r="AH30">
        <f t="shared" si="9"/>
        <v>6.8095238095238093</v>
      </c>
      <c r="AI30">
        <f t="shared" si="10"/>
        <v>5.72</v>
      </c>
      <c r="AJ30">
        <f t="shared" si="11"/>
        <v>0.84</v>
      </c>
    </row>
    <row r="31" spans="1:36" x14ac:dyDescent="0.2">
      <c r="A31" s="2">
        <v>29</v>
      </c>
      <c r="B31" s="1" t="s">
        <v>21</v>
      </c>
      <c r="C31" s="1" t="s">
        <v>22</v>
      </c>
      <c r="D31" s="1" t="s">
        <v>23</v>
      </c>
      <c r="E31" s="1" t="s">
        <v>22</v>
      </c>
      <c r="F31" s="1" t="s">
        <v>22</v>
      </c>
      <c r="G31" s="1" t="s">
        <v>31</v>
      </c>
      <c r="H31" s="1" t="s">
        <v>23</v>
      </c>
      <c r="I31" s="1" t="s">
        <v>25</v>
      </c>
      <c r="J31" s="1" t="s">
        <v>23</v>
      </c>
      <c r="K31" s="1" t="s">
        <v>26</v>
      </c>
      <c r="L31" s="1" t="s">
        <v>30</v>
      </c>
      <c r="M31" s="1" t="s">
        <v>23</v>
      </c>
      <c r="N31" s="1" t="s">
        <v>28</v>
      </c>
      <c r="O31" s="1" t="s">
        <v>25</v>
      </c>
      <c r="P31" s="1" t="s">
        <v>23</v>
      </c>
      <c r="Q31" s="1" t="s">
        <v>25</v>
      </c>
      <c r="R31" s="1" t="s">
        <v>24</v>
      </c>
      <c r="S31" s="1" t="s">
        <v>24</v>
      </c>
      <c r="T31" s="1" t="s">
        <v>29</v>
      </c>
      <c r="U31">
        <v>87</v>
      </c>
      <c r="V31">
        <v>143</v>
      </c>
      <c r="W31">
        <v>21</v>
      </c>
      <c r="X31">
        <v>24</v>
      </c>
      <c r="Y31" s="53">
        <f t="shared" si="0"/>
        <v>1.6436781609195403</v>
      </c>
      <c r="Z31" s="53">
        <f t="shared" si="1"/>
        <v>0.2413793103448276</v>
      </c>
      <c r="AA31" s="53">
        <f t="shared" si="2"/>
        <v>0.27586206896551724</v>
      </c>
      <c r="AB31" s="53">
        <f t="shared" si="4"/>
        <v>0.14685314685314685</v>
      </c>
      <c r="AC31" s="53">
        <f t="shared" si="5"/>
        <v>0.16783216783216784</v>
      </c>
      <c r="AD31" s="53">
        <f t="shared" si="6"/>
        <v>1.1428571428571428</v>
      </c>
      <c r="AE31" s="53">
        <f t="shared" si="7"/>
        <v>0.60839160839160844</v>
      </c>
      <c r="AF31" s="53">
        <f t="shared" si="3"/>
        <v>4.1428571428571432</v>
      </c>
      <c r="AG31">
        <f t="shared" si="8"/>
        <v>3.625</v>
      </c>
      <c r="AH31">
        <f t="shared" si="9"/>
        <v>6.8095238095238093</v>
      </c>
      <c r="AI31">
        <f t="shared" si="10"/>
        <v>5.958333333333333</v>
      </c>
      <c r="AJ31">
        <f t="shared" si="11"/>
        <v>0.875</v>
      </c>
    </row>
    <row r="32" spans="1:36" x14ac:dyDescent="0.2">
      <c r="A32" s="2">
        <v>30</v>
      </c>
      <c r="B32" s="1" t="s">
        <v>21</v>
      </c>
      <c r="C32" s="1" t="s">
        <v>22</v>
      </c>
      <c r="D32" s="1" t="s">
        <v>23</v>
      </c>
      <c r="E32" s="1" t="s">
        <v>22</v>
      </c>
      <c r="F32" s="1" t="s">
        <v>22</v>
      </c>
      <c r="G32" s="1" t="s">
        <v>24</v>
      </c>
      <c r="H32" s="1" t="s">
        <v>23</v>
      </c>
      <c r="I32" s="1" t="s">
        <v>30</v>
      </c>
      <c r="J32" s="1" t="s">
        <v>23</v>
      </c>
      <c r="K32" s="1" t="s">
        <v>26</v>
      </c>
      <c r="L32" s="1" t="s">
        <v>30</v>
      </c>
      <c r="M32" s="1" t="s">
        <v>23</v>
      </c>
      <c r="N32" s="1" t="s">
        <v>28</v>
      </c>
      <c r="O32" s="1" t="s">
        <v>25</v>
      </c>
      <c r="P32" s="1" t="s">
        <v>23</v>
      </c>
      <c r="Q32" s="1" t="s">
        <v>23</v>
      </c>
      <c r="R32" s="1" t="s">
        <v>31</v>
      </c>
      <c r="S32" s="1" t="s">
        <v>24</v>
      </c>
      <c r="T32" s="1" t="s">
        <v>29</v>
      </c>
      <c r="U32">
        <v>87</v>
      </c>
      <c r="V32">
        <v>143</v>
      </c>
      <c r="W32">
        <v>21</v>
      </c>
      <c r="X32">
        <v>24</v>
      </c>
      <c r="Y32" s="53">
        <f t="shared" si="0"/>
        <v>1.6436781609195403</v>
      </c>
      <c r="Z32" s="53">
        <f t="shared" si="1"/>
        <v>0.2413793103448276</v>
      </c>
      <c r="AA32" s="53">
        <f t="shared" si="2"/>
        <v>0.27586206896551724</v>
      </c>
      <c r="AB32" s="53">
        <f t="shared" si="4"/>
        <v>0.14685314685314685</v>
      </c>
      <c r="AC32" s="53">
        <f t="shared" si="5"/>
        <v>0.16783216783216784</v>
      </c>
      <c r="AD32" s="53">
        <f t="shared" si="6"/>
        <v>1.1428571428571428</v>
      </c>
      <c r="AE32" s="53">
        <f t="shared" si="7"/>
        <v>0.60839160839160844</v>
      </c>
      <c r="AF32" s="53">
        <f t="shared" si="3"/>
        <v>4.1428571428571432</v>
      </c>
      <c r="AG32">
        <f t="shared" si="8"/>
        <v>3.625</v>
      </c>
      <c r="AH32">
        <f t="shared" si="9"/>
        <v>6.8095238095238093</v>
      </c>
      <c r="AI32">
        <f t="shared" si="10"/>
        <v>5.958333333333333</v>
      </c>
      <c r="AJ32">
        <f t="shared" si="11"/>
        <v>0.875</v>
      </c>
    </row>
    <row r="33" spans="1:37" x14ac:dyDescent="0.2">
      <c r="A33" s="2">
        <v>31</v>
      </c>
      <c r="B33" s="1" t="s">
        <v>21</v>
      </c>
      <c r="C33" s="1" t="s">
        <v>22</v>
      </c>
      <c r="D33" s="1" t="s">
        <v>23</v>
      </c>
      <c r="E33" s="1" t="s">
        <v>22</v>
      </c>
      <c r="F33" s="1" t="s">
        <v>22</v>
      </c>
      <c r="G33" s="1" t="s">
        <v>24</v>
      </c>
      <c r="H33" s="1" t="s">
        <v>23</v>
      </c>
      <c r="I33" s="1" t="s">
        <v>25</v>
      </c>
      <c r="J33" s="1" t="s">
        <v>22</v>
      </c>
      <c r="K33" s="1" t="s">
        <v>26</v>
      </c>
      <c r="L33" s="1" t="s">
        <v>30</v>
      </c>
      <c r="M33" s="1" t="s">
        <v>23</v>
      </c>
      <c r="N33" s="1" t="s">
        <v>28</v>
      </c>
      <c r="O33" s="1" t="s">
        <v>22</v>
      </c>
      <c r="P33" s="1" t="s">
        <v>23</v>
      </c>
      <c r="Q33" s="1" t="s">
        <v>25</v>
      </c>
      <c r="R33" s="1" t="s">
        <v>24</v>
      </c>
      <c r="S33" s="1" t="s">
        <v>24</v>
      </c>
      <c r="T33" s="1" t="s">
        <v>29</v>
      </c>
      <c r="U33">
        <v>84</v>
      </c>
      <c r="V33">
        <v>138</v>
      </c>
      <c r="W33">
        <v>22</v>
      </c>
      <c r="X33">
        <v>23</v>
      </c>
      <c r="Y33" s="53">
        <f t="shared" si="0"/>
        <v>1.6428571428571428</v>
      </c>
      <c r="Z33" s="53">
        <f t="shared" si="1"/>
        <v>0.26190476190476192</v>
      </c>
      <c r="AA33" s="53">
        <f t="shared" si="2"/>
        <v>0.27380952380952384</v>
      </c>
      <c r="AB33" s="53">
        <f t="shared" si="4"/>
        <v>0.15942028985507245</v>
      </c>
      <c r="AC33" s="53">
        <f t="shared" si="5"/>
        <v>0.16666666666666666</v>
      </c>
      <c r="AD33" s="53">
        <f t="shared" si="6"/>
        <v>1.0454545454545454</v>
      </c>
      <c r="AE33" s="53">
        <f t="shared" si="7"/>
        <v>0.60869565217391308</v>
      </c>
      <c r="AF33" s="53">
        <f t="shared" si="3"/>
        <v>3.8181818181818183</v>
      </c>
      <c r="AG33">
        <f t="shared" si="8"/>
        <v>3.652173913043478</v>
      </c>
      <c r="AH33">
        <f t="shared" si="9"/>
        <v>6.2727272727272725</v>
      </c>
      <c r="AI33">
        <f t="shared" si="10"/>
        <v>6</v>
      </c>
      <c r="AJ33">
        <f t="shared" si="11"/>
        <v>0.95652173913043481</v>
      </c>
    </row>
    <row r="34" spans="1:37" x14ac:dyDescent="0.2">
      <c r="A34" s="2">
        <v>32</v>
      </c>
      <c r="B34" s="1" t="s">
        <v>21</v>
      </c>
      <c r="C34" s="1" t="s">
        <v>25</v>
      </c>
      <c r="D34" s="1" t="s">
        <v>23</v>
      </c>
      <c r="E34" s="1" t="s">
        <v>22</v>
      </c>
      <c r="F34" s="1" t="s">
        <v>22</v>
      </c>
      <c r="G34" s="1" t="s">
        <v>24</v>
      </c>
      <c r="H34" s="1" t="s">
        <v>23</v>
      </c>
      <c r="I34" s="1" t="s">
        <v>25</v>
      </c>
      <c r="J34" s="1" t="s">
        <v>23</v>
      </c>
      <c r="K34" s="1" t="s">
        <v>26</v>
      </c>
      <c r="L34" s="1" t="s">
        <v>30</v>
      </c>
      <c r="M34" s="1" t="s">
        <v>23</v>
      </c>
      <c r="N34" s="1" t="s">
        <v>28</v>
      </c>
      <c r="O34" s="1" t="s">
        <v>25</v>
      </c>
      <c r="P34" s="1" t="s">
        <v>23</v>
      </c>
      <c r="Q34" s="1" t="s">
        <v>23</v>
      </c>
      <c r="R34" s="1" t="s">
        <v>24</v>
      </c>
      <c r="S34" s="1" t="s">
        <v>24</v>
      </c>
      <c r="T34" s="1" t="s">
        <v>29</v>
      </c>
      <c r="U34">
        <v>88</v>
      </c>
      <c r="V34">
        <v>146</v>
      </c>
      <c r="W34">
        <v>22</v>
      </c>
      <c r="X34">
        <v>23</v>
      </c>
      <c r="Y34" s="53">
        <f t="shared" si="0"/>
        <v>1.6590909090909092</v>
      </c>
      <c r="Z34" s="53">
        <f t="shared" si="1"/>
        <v>0.25</v>
      </c>
      <c r="AA34" s="53">
        <f t="shared" si="2"/>
        <v>0.26136363636363635</v>
      </c>
      <c r="AB34" s="53">
        <f t="shared" si="4"/>
        <v>0.15068493150684931</v>
      </c>
      <c r="AC34" s="53">
        <f t="shared" si="5"/>
        <v>0.15753424657534246</v>
      </c>
      <c r="AD34" s="53">
        <f t="shared" si="6"/>
        <v>1.0454545454545454</v>
      </c>
      <c r="AE34" s="53">
        <f t="shared" si="7"/>
        <v>0.60273972602739723</v>
      </c>
      <c r="AF34" s="53">
        <f t="shared" si="3"/>
        <v>4</v>
      </c>
      <c r="AG34">
        <f t="shared" si="8"/>
        <v>3.8260869565217392</v>
      </c>
      <c r="AH34">
        <f t="shared" si="9"/>
        <v>6.6363636363636367</v>
      </c>
      <c r="AI34">
        <f t="shared" si="10"/>
        <v>6.3478260869565215</v>
      </c>
      <c r="AJ34">
        <f t="shared" si="11"/>
        <v>0.95652173913043481</v>
      </c>
    </row>
    <row r="35" spans="1:37" x14ac:dyDescent="0.2">
      <c r="A35" s="2">
        <v>33</v>
      </c>
      <c r="B35" s="1" t="s">
        <v>21</v>
      </c>
      <c r="C35" s="1" t="s">
        <v>25</v>
      </c>
      <c r="D35" s="1" t="s">
        <v>23</v>
      </c>
      <c r="E35" s="1" t="s">
        <v>22</v>
      </c>
      <c r="F35" s="1" t="s">
        <v>22</v>
      </c>
      <c r="G35" s="1" t="s">
        <v>24</v>
      </c>
      <c r="H35" s="1" t="s">
        <v>23</v>
      </c>
      <c r="I35" s="1" t="s">
        <v>25</v>
      </c>
      <c r="J35" s="1" t="s">
        <v>23</v>
      </c>
      <c r="K35" s="1" t="s">
        <v>26</v>
      </c>
      <c r="L35" s="1" t="s">
        <v>30</v>
      </c>
      <c r="M35" s="1" t="s">
        <v>23</v>
      </c>
      <c r="N35" s="1" t="s">
        <v>28</v>
      </c>
      <c r="O35" s="1" t="s">
        <v>25</v>
      </c>
      <c r="P35" s="1" t="s">
        <v>23</v>
      </c>
      <c r="Q35" s="1" t="s">
        <v>23</v>
      </c>
      <c r="R35" s="1" t="s">
        <v>34</v>
      </c>
      <c r="S35" s="1" t="s">
        <v>24</v>
      </c>
      <c r="T35" s="1" t="s">
        <v>29</v>
      </c>
      <c r="U35">
        <v>89</v>
      </c>
      <c r="V35">
        <v>147</v>
      </c>
      <c r="W35">
        <v>21</v>
      </c>
      <c r="X35">
        <v>24</v>
      </c>
      <c r="Y35" s="53">
        <f t="shared" si="0"/>
        <v>1.651685393258427</v>
      </c>
      <c r="Z35" s="53">
        <f t="shared" si="1"/>
        <v>0.23595505617977527</v>
      </c>
      <c r="AA35" s="53">
        <f t="shared" si="2"/>
        <v>0.2696629213483146</v>
      </c>
      <c r="AB35" s="53">
        <f t="shared" si="4"/>
        <v>0.14285714285714285</v>
      </c>
      <c r="AC35" s="53">
        <f t="shared" si="5"/>
        <v>0.16326530612244897</v>
      </c>
      <c r="AD35" s="53">
        <f t="shared" si="6"/>
        <v>1.1428571428571428</v>
      </c>
      <c r="AE35" s="53">
        <f t="shared" si="7"/>
        <v>0.60544217687074831</v>
      </c>
      <c r="AF35" s="53">
        <f t="shared" si="3"/>
        <v>4.2380952380952381</v>
      </c>
      <c r="AG35">
        <f t="shared" si="8"/>
        <v>3.7083333333333335</v>
      </c>
      <c r="AH35">
        <f t="shared" si="9"/>
        <v>7</v>
      </c>
      <c r="AI35">
        <f t="shared" si="10"/>
        <v>6.125</v>
      </c>
      <c r="AJ35">
        <f t="shared" si="11"/>
        <v>0.875</v>
      </c>
    </row>
    <row r="36" spans="1:37" x14ac:dyDescent="0.2">
      <c r="A36" s="2">
        <v>34</v>
      </c>
      <c r="B36" s="1" t="s">
        <v>21</v>
      </c>
      <c r="C36" s="1" t="s">
        <v>22</v>
      </c>
      <c r="D36" s="1" t="s">
        <v>23</v>
      </c>
      <c r="E36" s="1" t="s">
        <v>22</v>
      </c>
      <c r="F36" s="1" t="s">
        <v>22</v>
      </c>
      <c r="G36" s="1" t="s">
        <v>34</v>
      </c>
      <c r="H36" s="1" t="s">
        <v>23</v>
      </c>
      <c r="I36" s="1" t="s">
        <v>25</v>
      </c>
      <c r="J36" s="1" t="s">
        <v>23</v>
      </c>
      <c r="K36" s="1" t="s">
        <v>26</v>
      </c>
      <c r="L36" s="1" t="s">
        <v>30</v>
      </c>
      <c r="M36" s="1" t="s">
        <v>23</v>
      </c>
      <c r="N36" s="1" t="s">
        <v>28</v>
      </c>
      <c r="O36" s="1" t="s">
        <v>25</v>
      </c>
      <c r="P36" s="1" t="s">
        <v>23</v>
      </c>
      <c r="Q36" s="1" t="s">
        <v>23</v>
      </c>
      <c r="R36" s="1" t="s">
        <v>24</v>
      </c>
      <c r="S36" s="1" t="s">
        <v>24</v>
      </c>
      <c r="T36" s="1" t="s">
        <v>29</v>
      </c>
      <c r="U36">
        <v>87</v>
      </c>
      <c r="V36">
        <v>143</v>
      </c>
      <c r="W36">
        <v>21</v>
      </c>
      <c r="X36">
        <v>24</v>
      </c>
      <c r="Y36" s="53">
        <f t="shared" si="0"/>
        <v>1.6436781609195403</v>
      </c>
      <c r="Z36" s="53">
        <f t="shared" si="1"/>
        <v>0.2413793103448276</v>
      </c>
      <c r="AA36" s="53">
        <f t="shared" si="2"/>
        <v>0.27586206896551724</v>
      </c>
      <c r="AB36" s="53">
        <f t="shared" si="4"/>
        <v>0.14685314685314685</v>
      </c>
      <c r="AC36" s="53">
        <f t="shared" si="5"/>
        <v>0.16783216783216784</v>
      </c>
      <c r="AD36" s="53">
        <f t="shared" si="6"/>
        <v>1.1428571428571428</v>
      </c>
      <c r="AE36" s="53">
        <f t="shared" si="7"/>
        <v>0.60839160839160844</v>
      </c>
      <c r="AF36" s="53">
        <f t="shared" si="3"/>
        <v>4.1428571428571432</v>
      </c>
      <c r="AG36">
        <f t="shared" si="8"/>
        <v>3.625</v>
      </c>
      <c r="AH36">
        <f t="shared" si="9"/>
        <v>6.8095238095238093</v>
      </c>
      <c r="AI36">
        <f t="shared" si="10"/>
        <v>5.958333333333333</v>
      </c>
      <c r="AJ36">
        <f t="shared" si="11"/>
        <v>0.875</v>
      </c>
    </row>
    <row r="37" spans="1:37" x14ac:dyDescent="0.2">
      <c r="A37" s="2">
        <v>35</v>
      </c>
      <c r="B37" s="1" t="s">
        <v>21</v>
      </c>
      <c r="C37" s="1" t="s">
        <v>22</v>
      </c>
      <c r="D37" s="1" t="s">
        <v>23</v>
      </c>
      <c r="E37" s="1" t="s">
        <v>22</v>
      </c>
      <c r="F37" s="1" t="s">
        <v>22</v>
      </c>
      <c r="G37" s="1" t="s">
        <v>31</v>
      </c>
      <c r="H37" s="1" t="s">
        <v>23</v>
      </c>
      <c r="I37" s="1" t="s">
        <v>25</v>
      </c>
      <c r="J37" s="1" t="s">
        <v>23</v>
      </c>
      <c r="K37" s="1" t="s">
        <v>26</v>
      </c>
      <c r="L37" s="1" t="s">
        <v>30</v>
      </c>
      <c r="M37" s="1" t="s">
        <v>23</v>
      </c>
      <c r="N37" s="1" t="s">
        <v>28</v>
      </c>
      <c r="O37" s="1" t="s">
        <v>25</v>
      </c>
      <c r="P37" s="1" t="s">
        <v>23</v>
      </c>
      <c r="Q37" s="1" t="s">
        <v>23</v>
      </c>
      <c r="R37" s="1" t="s">
        <v>34</v>
      </c>
      <c r="S37" s="1" t="s">
        <v>24</v>
      </c>
      <c r="T37" s="1" t="s">
        <v>29</v>
      </c>
      <c r="U37">
        <v>87</v>
      </c>
      <c r="V37">
        <v>142</v>
      </c>
      <c r="W37">
        <v>20</v>
      </c>
      <c r="X37">
        <v>25</v>
      </c>
      <c r="Y37" s="53">
        <f t="shared" si="0"/>
        <v>1.632183908045977</v>
      </c>
      <c r="Z37" s="53">
        <f t="shared" si="1"/>
        <v>0.22988505747126436</v>
      </c>
      <c r="AA37" s="53">
        <f t="shared" si="2"/>
        <v>0.28735632183908044</v>
      </c>
      <c r="AB37" s="53">
        <f t="shared" si="4"/>
        <v>0.14084507042253522</v>
      </c>
      <c r="AC37" s="53">
        <f t="shared" si="5"/>
        <v>0.176056338028169</v>
      </c>
      <c r="AD37" s="53">
        <f t="shared" si="6"/>
        <v>1.25</v>
      </c>
      <c r="AE37" s="53">
        <f t="shared" si="7"/>
        <v>0.61267605633802813</v>
      </c>
      <c r="AF37" s="53">
        <f t="shared" si="3"/>
        <v>4.3499999999999996</v>
      </c>
      <c r="AG37">
        <f t="shared" si="8"/>
        <v>3.48</v>
      </c>
      <c r="AH37">
        <f t="shared" si="9"/>
        <v>7.1</v>
      </c>
      <c r="AI37">
        <f t="shared" si="10"/>
        <v>5.68</v>
      </c>
      <c r="AJ37">
        <f t="shared" si="11"/>
        <v>0.8</v>
      </c>
    </row>
    <row r="38" spans="1:37" x14ac:dyDescent="0.2">
      <c r="A38" s="2">
        <v>36</v>
      </c>
      <c r="B38" s="1" t="s">
        <v>21</v>
      </c>
      <c r="C38" s="1" t="s">
        <v>22</v>
      </c>
      <c r="D38" s="1" t="s">
        <v>23</v>
      </c>
      <c r="E38" s="1" t="s">
        <v>22</v>
      </c>
      <c r="F38" s="1" t="s">
        <v>22</v>
      </c>
      <c r="G38" s="1" t="s">
        <v>31</v>
      </c>
      <c r="H38" s="1" t="s">
        <v>23</v>
      </c>
      <c r="I38" s="1" t="s">
        <v>25</v>
      </c>
      <c r="J38" s="1" t="s">
        <v>23</v>
      </c>
      <c r="K38" s="1" t="s">
        <v>26</v>
      </c>
      <c r="L38" s="1" t="s">
        <v>30</v>
      </c>
      <c r="M38" s="1" t="s">
        <v>23</v>
      </c>
      <c r="N38" s="1" t="s">
        <v>28</v>
      </c>
      <c r="O38" s="1" t="s">
        <v>25</v>
      </c>
      <c r="P38" s="1" t="s">
        <v>23</v>
      </c>
      <c r="Q38" s="1" t="s">
        <v>23</v>
      </c>
      <c r="R38" s="1" t="s">
        <v>24</v>
      </c>
      <c r="S38" s="1" t="s">
        <v>24</v>
      </c>
      <c r="T38" s="1" t="s">
        <v>32</v>
      </c>
      <c r="U38">
        <v>88</v>
      </c>
      <c r="V38">
        <v>143</v>
      </c>
      <c r="W38">
        <v>21</v>
      </c>
      <c r="X38">
        <v>25</v>
      </c>
      <c r="Y38" s="53">
        <f t="shared" si="0"/>
        <v>1.625</v>
      </c>
      <c r="Z38" s="53">
        <f t="shared" si="1"/>
        <v>0.23863636363636365</v>
      </c>
      <c r="AA38" s="53">
        <f t="shared" si="2"/>
        <v>0.28409090909090912</v>
      </c>
      <c r="AB38" s="53">
        <f t="shared" si="4"/>
        <v>0.14685314685314685</v>
      </c>
      <c r="AC38" s="53">
        <f t="shared" si="5"/>
        <v>0.17482517482517482</v>
      </c>
      <c r="AD38" s="53">
        <f t="shared" si="6"/>
        <v>1.1904761904761905</v>
      </c>
      <c r="AE38" s="53">
        <f t="shared" si="7"/>
        <v>0.61538461538461542</v>
      </c>
      <c r="AF38" s="53">
        <f t="shared" si="3"/>
        <v>4.1904761904761907</v>
      </c>
      <c r="AG38">
        <f t="shared" si="8"/>
        <v>3.52</v>
      </c>
      <c r="AH38">
        <f t="shared" si="9"/>
        <v>6.8095238095238093</v>
      </c>
      <c r="AI38">
        <f t="shared" si="10"/>
        <v>5.72</v>
      </c>
      <c r="AJ38">
        <f t="shared" si="11"/>
        <v>0.84</v>
      </c>
    </row>
    <row r="39" spans="1:37" x14ac:dyDescent="0.2">
      <c r="A39" s="2">
        <v>37</v>
      </c>
      <c r="B39" s="1" t="s">
        <v>21</v>
      </c>
      <c r="C39" s="1" t="s">
        <v>22</v>
      </c>
      <c r="D39" s="1" t="s">
        <v>23</v>
      </c>
      <c r="E39" s="1" t="s">
        <v>22</v>
      </c>
      <c r="F39" s="1" t="s">
        <v>22</v>
      </c>
      <c r="G39" s="1" t="s">
        <v>24</v>
      </c>
      <c r="H39" s="1" t="s">
        <v>23</v>
      </c>
      <c r="I39" s="1" t="s">
        <v>25</v>
      </c>
      <c r="J39" s="1" t="s">
        <v>23</v>
      </c>
      <c r="K39" s="1" t="s">
        <v>26</v>
      </c>
      <c r="L39" s="1" t="s">
        <v>30</v>
      </c>
      <c r="M39" s="1" t="s">
        <v>23</v>
      </c>
      <c r="N39" s="1" t="s">
        <v>28</v>
      </c>
      <c r="O39" s="1" t="s">
        <v>25</v>
      </c>
      <c r="P39" s="1" t="s">
        <v>23</v>
      </c>
      <c r="Q39" s="1" t="s">
        <v>23</v>
      </c>
      <c r="R39" s="1" t="s">
        <v>34</v>
      </c>
      <c r="S39" s="1" t="s">
        <v>24</v>
      </c>
      <c r="T39" s="1" t="s">
        <v>32</v>
      </c>
      <c r="U39">
        <v>89</v>
      </c>
      <c r="V39">
        <v>145</v>
      </c>
      <c r="W39">
        <v>21</v>
      </c>
      <c r="X39">
        <v>25</v>
      </c>
      <c r="Y39" s="53">
        <f t="shared" si="0"/>
        <v>1.6292134831460674</v>
      </c>
      <c r="Z39" s="53">
        <f t="shared" si="1"/>
        <v>0.23595505617977527</v>
      </c>
      <c r="AA39" s="53">
        <f t="shared" si="2"/>
        <v>0.2808988764044944</v>
      </c>
      <c r="AB39" s="53">
        <f t="shared" si="4"/>
        <v>0.14482758620689656</v>
      </c>
      <c r="AC39" s="53">
        <f t="shared" si="5"/>
        <v>0.17241379310344829</v>
      </c>
      <c r="AD39" s="53">
        <f t="shared" si="6"/>
        <v>1.1904761904761905</v>
      </c>
      <c r="AE39" s="53">
        <f t="shared" si="7"/>
        <v>0.61379310344827587</v>
      </c>
      <c r="AF39" s="53">
        <f t="shared" si="3"/>
        <v>4.2380952380952381</v>
      </c>
      <c r="AG39">
        <f t="shared" si="8"/>
        <v>3.56</v>
      </c>
      <c r="AH39">
        <f t="shared" si="9"/>
        <v>6.9047619047619051</v>
      </c>
      <c r="AI39">
        <f t="shared" si="10"/>
        <v>5.8</v>
      </c>
      <c r="AJ39">
        <f t="shared" si="11"/>
        <v>0.84</v>
      </c>
    </row>
    <row r="40" spans="1:37" x14ac:dyDescent="0.2">
      <c r="A40" s="2">
        <v>38</v>
      </c>
      <c r="B40" s="1" t="s">
        <v>21</v>
      </c>
      <c r="C40" s="1" t="s">
        <v>22</v>
      </c>
      <c r="D40" s="1" t="s">
        <v>23</v>
      </c>
      <c r="E40" s="1" t="s">
        <v>22</v>
      </c>
      <c r="F40" s="1" t="s">
        <v>22</v>
      </c>
      <c r="G40" s="1" t="s">
        <v>24</v>
      </c>
      <c r="H40" s="1" t="s">
        <v>23</v>
      </c>
      <c r="I40" s="1" t="s">
        <v>25</v>
      </c>
      <c r="J40" s="1" t="s">
        <v>23</v>
      </c>
      <c r="K40" s="1" t="s">
        <v>26</v>
      </c>
      <c r="L40" s="1" t="s">
        <v>30</v>
      </c>
      <c r="M40" s="1" t="s">
        <v>23</v>
      </c>
      <c r="N40" s="1" t="s">
        <v>28</v>
      </c>
      <c r="O40" s="1" t="s">
        <v>25</v>
      </c>
      <c r="P40" s="1" t="s">
        <v>23</v>
      </c>
      <c r="Q40" s="1" t="s">
        <v>23</v>
      </c>
      <c r="R40" s="1" t="s">
        <v>24</v>
      </c>
      <c r="S40" s="1" t="s">
        <v>34</v>
      </c>
      <c r="T40" s="1" t="s">
        <v>29</v>
      </c>
      <c r="U40">
        <v>87</v>
      </c>
      <c r="V40">
        <v>143</v>
      </c>
      <c r="W40">
        <v>21</v>
      </c>
      <c r="X40">
        <v>24</v>
      </c>
      <c r="Y40" s="53">
        <f t="shared" si="0"/>
        <v>1.6436781609195403</v>
      </c>
      <c r="Z40" s="53">
        <f t="shared" si="1"/>
        <v>0.2413793103448276</v>
      </c>
      <c r="AA40" s="53">
        <f t="shared" si="2"/>
        <v>0.27586206896551724</v>
      </c>
      <c r="AB40" s="53">
        <f t="shared" si="4"/>
        <v>0.14685314685314685</v>
      </c>
      <c r="AC40" s="53">
        <f t="shared" si="5"/>
        <v>0.16783216783216784</v>
      </c>
      <c r="AD40" s="53">
        <f t="shared" si="6"/>
        <v>1.1428571428571428</v>
      </c>
      <c r="AE40" s="53">
        <f t="shared" si="7"/>
        <v>0.60839160839160844</v>
      </c>
      <c r="AF40" s="53">
        <f t="shared" si="3"/>
        <v>4.1428571428571432</v>
      </c>
      <c r="AG40">
        <f t="shared" si="8"/>
        <v>3.625</v>
      </c>
      <c r="AH40">
        <f t="shared" si="9"/>
        <v>6.8095238095238093</v>
      </c>
      <c r="AI40">
        <f t="shared" si="10"/>
        <v>5.958333333333333</v>
      </c>
      <c r="AJ40">
        <f t="shared" si="11"/>
        <v>0.875</v>
      </c>
    </row>
    <row r="41" spans="1:37" x14ac:dyDescent="0.2">
      <c r="A41" s="2">
        <v>39</v>
      </c>
      <c r="B41" s="1" t="s">
        <v>21</v>
      </c>
      <c r="C41" s="1" t="s">
        <v>22</v>
      </c>
      <c r="D41" s="1" t="s">
        <v>23</v>
      </c>
      <c r="E41" s="1" t="s">
        <v>22</v>
      </c>
      <c r="F41" s="1" t="s">
        <v>22</v>
      </c>
      <c r="G41" s="1" t="s">
        <v>34</v>
      </c>
      <c r="H41" s="1" t="s">
        <v>23</v>
      </c>
      <c r="I41" s="1" t="s">
        <v>25</v>
      </c>
      <c r="J41" s="1" t="s">
        <v>23</v>
      </c>
      <c r="K41" s="1" t="s">
        <v>26</v>
      </c>
      <c r="L41" s="1" t="s">
        <v>30</v>
      </c>
      <c r="M41" s="1" t="s">
        <v>23</v>
      </c>
      <c r="N41" s="1" t="s">
        <v>28</v>
      </c>
      <c r="O41" s="1" t="s">
        <v>25</v>
      </c>
      <c r="P41" s="1" t="s">
        <v>23</v>
      </c>
      <c r="Q41" s="1" t="s">
        <v>23</v>
      </c>
      <c r="R41" s="1" t="s">
        <v>24</v>
      </c>
      <c r="S41" s="1" t="s">
        <v>34</v>
      </c>
      <c r="T41" s="1" t="s">
        <v>29</v>
      </c>
      <c r="U41">
        <v>88</v>
      </c>
      <c r="V41">
        <v>144</v>
      </c>
      <c r="W41">
        <v>20</v>
      </c>
      <c r="X41">
        <v>25</v>
      </c>
      <c r="Y41" s="53">
        <f t="shared" si="0"/>
        <v>1.6363636363636365</v>
      </c>
      <c r="Z41" s="53">
        <f t="shared" si="1"/>
        <v>0.22727272727272727</v>
      </c>
      <c r="AA41" s="53">
        <f t="shared" si="2"/>
        <v>0.28409090909090912</v>
      </c>
      <c r="AB41" s="53">
        <f t="shared" si="4"/>
        <v>0.1388888888888889</v>
      </c>
      <c r="AC41" s="53">
        <f t="shared" si="5"/>
        <v>0.1736111111111111</v>
      </c>
      <c r="AD41" s="53">
        <f t="shared" si="6"/>
        <v>1.25</v>
      </c>
      <c r="AE41" s="53">
        <f t="shared" si="7"/>
        <v>0.61111111111111116</v>
      </c>
      <c r="AF41" s="53">
        <f t="shared" si="3"/>
        <v>4.4000000000000004</v>
      </c>
      <c r="AG41">
        <f t="shared" si="8"/>
        <v>3.52</v>
      </c>
      <c r="AH41">
        <f t="shared" si="9"/>
        <v>7.2</v>
      </c>
      <c r="AI41">
        <f t="shared" si="10"/>
        <v>5.76</v>
      </c>
      <c r="AJ41">
        <f t="shared" si="11"/>
        <v>0.8</v>
      </c>
    </row>
    <row r="42" spans="1:37" x14ac:dyDescent="0.2">
      <c r="A42" s="2">
        <v>40</v>
      </c>
      <c r="B42" s="1" t="s">
        <v>21</v>
      </c>
      <c r="C42" s="1" t="s">
        <v>22</v>
      </c>
      <c r="D42" s="1" t="s">
        <v>23</v>
      </c>
      <c r="E42" s="1" t="s">
        <v>22</v>
      </c>
      <c r="F42" s="1" t="s">
        <v>22</v>
      </c>
      <c r="G42" s="1" t="s">
        <v>31</v>
      </c>
      <c r="H42" s="1" t="s">
        <v>23</v>
      </c>
      <c r="I42" s="1" t="s">
        <v>25</v>
      </c>
      <c r="J42" s="1" t="s">
        <v>23</v>
      </c>
      <c r="K42" s="1" t="s">
        <v>26</v>
      </c>
      <c r="L42" s="1" t="s">
        <v>30</v>
      </c>
      <c r="M42" s="1" t="s">
        <v>23</v>
      </c>
      <c r="N42" s="1" t="s">
        <v>28</v>
      </c>
      <c r="O42" s="1" t="s">
        <v>25</v>
      </c>
      <c r="P42" s="1" t="s">
        <v>23</v>
      </c>
      <c r="Q42" s="1" t="s">
        <v>23</v>
      </c>
      <c r="R42" s="1" t="s">
        <v>24</v>
      </c>
      <c r="S42" s="1" t="s">
        <v>24</v>
      </c>
      <c r="T42" s="1" t="s">
        <v>29</v>
      </c>
      <c r="U42">
        <v>86</v>
      </c>
      <c r="V42">
        <v>141</v>
      </c>
      <c r="W42">
        <v>21</v>
      </c>
      <c r="X42">
        <v>24</v>
      </c>
      <c r="Y42" s="53">
        <f t="shared" si="0"/>
        <v>1.6395348837209303</v>
      </c>
      <c r="Z42" s="53">
        <f t="shared" si="1"/>
        <v>0.2441860465116279</v>
      </c>
      <c r="AA42" s="53">
        <f t="shared" si="2"/>
        <v>0.27906976744186046</v>
      </c>
      <c r="AB42" s="53">
        <f t="shared" si="4"/>
        <v>0.14893617021276595</v>
      </c>
      <c r="AC42" s="53">
        <f t="shared" si="5"/>
        <v>0.1702127659574468</v>
      </c>
      <c r="AD42" s="53">
        <f t="shared" si="6"/>
        <v>1.1428571428571428</v>
      </c>
      <c r="AE42" s="53">
        <f t="shared" si="7"/>
        <v>0.60992907801418439</v>
      </c>
      <c r="AF42" s="53">
        <f t="shared" si="3"/>
        <v>4.0952380952380949</v>
      </c>
      <c r="AG42">
        <f t="shared" si="8"/>
        <v>3.5833333333333335</v>
      </c>
      <c r="AH42">
        <f t="shared" si="9"/>
        <v>6.7142857142857144</v>
      </c>
      <c r="AI42">
        <f t="shared" si="10"/>
        <v>5.875</v>
      </c>
      <c r="AJ42">
        <f t="shared" si="11"/>
        <v>0.875</v>
      </c>
    </row>
    <row r="43" spans="1:37" x14ac:dyDescent="0.2">
      <c r="A43" s="2">
        <v>41</v>
      </c>
      <c r="B43" s="1" t="s">
        <v>21</v>
      </c>
      <c r="C43" s="1" t="s">
        <v>22</v>
      </c>
      <c r="D43" s="1" t="s">
        <v>23</v>
      </c>
      <c r="E43" s="1" t="s">
        <v>22</v>
      </c>
      <c r="F43" s="1" t="s">
        <v>22</v>
      </c>
      <c r="G43" s="1" t="s">
        <v>34</v>
      </c>
      <c r="H43" s="1" t="s">
        <v>23</v>
      </c>
      <c r="I43" s="1" t="s">
        <v>25</v>
      </c>
      <c r="J43" s="1" t="s">
        <v>23</v>
      </c>
      <c r="K43" s="1" t="s">
        <v>26</v>
      </c>
      <c r="L43" s="1" t="s">
        <v>30</v>
      </c>
      <c r="M43" s="1" t="s">
        <v>23</v>
      </c>
      <c r="N43" s="1" t="s">
        <v>28</v>
      </c>
      <c r="O43" s="1" t="s">
        <v>25</v>
      </c>
      <c r="P43" s="1" t="s">
        <v>23</v>
      </c>
      <c r="Q43" s="1" t="s">
        <v>25</v>
      </c>
      <c r="R43" s="1" t="s">
        <v>24</v>
      </c>
      <c r="S43" s="1" t="s">
        <v>24</v>
      </c>
      <c r="T43" s="1" t="s">
        <v>29</v>
      </c>
      <c r="U43">
        <v>88</v>
      </c>
      <c r="V43">
        <v>145</v>
      </c>
      <c r="W43">
        <v>21</v>
      </c>
      <c r="X43">
        <v>24</v>
      </c>
      <c r="Y43" s="53">
        <f t="shared" si="0"/>
        <v>1.6477272727272727</v>
      </c>
      <c r="Z43" s="53">
        <f t="shared" si="1"/>
        <v>0.23863636363636365</v>
      </c>
      <c r="AA43" s="53">
        <f t="shared" si="2"/>
        <v>0.27272727272727271</v>
      </c>
      <c r="AB43" s="53">
        <f t="shared" si="4"/>
        <v>0.14482758620689656</v>
      </c>
      <c r="AC43" s="53">
        <f t="shared" si="5"/>
        <v>0.16551724137931034</v>
      </c>
      <c r="AD43" s="53">
        <f t="shared" si="6"/>
        <v>1.1428571428571428</v>
      </c>
      <c r="AE43" s="53">
        <f t="shared" si="7"/>
        <v>0.60689655172413792</v>
      </c>
      <c r="AF43" s="53">
        <f t="shared" si="3"/>
        <v>4.1904761904761907</v>
      </c>
      <c r="AG43">
        <f t="shared" si="8"/>
        <v>3.6666666666666665</v>
      </c>
      <c r="AH43">
        <f t="shared" si="9"/>
        <v>6.9047619047619051</v>
      </c>
      <c r="AI43">
        <f t="shared" si="10"/>
        <v>6.041666666666667</v>
      </c>
      <c r="AJ43">
        <f t="shared" si="11"/>
        <v>0.875</v>
      </c>
    </row>
    <row r="44" spans="1:37" x14ac:dyDescent="0.2">
      <c r="A44" s="2">
        <v>42</v>
      </c>
      <c r="B44" s="1" t="s">
        <v>21</v>
      </c>
      <c r="C44" s="1" t="s">
        <v>22</v>
      </c>
      <c r="D44" s="1" t="s">
        <v>23</v>
      </c>
      <c r="E44" s="1" t="s">
        <v>22</v>
      </c>
      <c r="F44" s="1" t="s">
        <v>22</v>
      </c>
      <c r="G44" s="1" t="s">
        <v>24</v>
      </c>
      <c r="H44" s="1" t="s">
        <v>23</v>
      </c>
      <c r="I44" s="1" t="s">
        <v>25</v>
      </c>
      <c r="J44" s="1" t="s">
        <v>23</v>
      </c>
      <c r="K44" s="1" t="s">
        <v>26</v>
      </c>
      <c r="L44" s="1" t="s">
        <v>30</v>
      </c>
      <c r="M44" s="1" t="s">
        <v>23</v>
      </c>
      <c r="N44" s="1" t="s">
        <v>28</v>
      </c>
      <c r="O44" s="1" t="s">
        <v>25</v>
      </c>
      <c r="P44" s="1" t="s">
        <v>23</v>
      </c>
      <c r="Q44" s="1" t="s">
        <v>23</v>
      </c>
      <c r="R44" s="1" t="s">
        <v>34</v>
      </c>
      <c r="S44" s="1" t="s">
        <v>31</v>
      </c>
      <c r="T44" s="1" t="s">
        <v>29</v>
      </c>
      <c r="U44">
        <v>87</v>
      </c>
      <c r="V44">
        <v>142</v>
      </c>
      <c r="W44">
        <v>20</v>
      </c>
      <c r="X44">
        <v>25</v>
      </c>
      <c r="Y44" s="53">
        <f t="shared" si="0"/>
        <v>1.632183908045977</v>
      </c>
      <c r="Z44" s="53">
        <f t="shared" si="1"/>
        <v>0.22988505747126436</v>
      </c>
      <c r="AA44" s="53">
        <f t="shared" si="2"/>
        <v>0.28735632183908044</v>
      </c>
      <c r="AB44" s="53">
        <f t="shared" si="4"/>
        <v>0.14084507042253522</v>
      </c>
      <c r="AC44" s="53">
        <f t="shared" si="5"/>
        <v>0.176056338028169</v>
      </c>
      <c r="AD44" s="53">
        <f t="shared" si="6"/>
        <v>1.25</v>
      </c>
      <c r="AE44" s="53">
        <f t="shared" si="7"/>
        <v>0.61267605633802813</v>
      </c>
      <c r="AF44" s="53">
        <f t="shared" si="3"/>
        <v>4.3499999999999996</v>
      </c>
      <c r="AG44">
        <f t="shared" si="8"/>
        <v>3.48</v>
      </c>
      <c r="AH44">
        <f t="shared" si="9"/>
        <v>7.1</v>
      </c>
      <c r="AI44">
        <f t="shared" si="10"/>
        <v>5.68</v>
      </c>
      <c r="AJ44">
        <f t="shared" si="11"/>
        <v>0.8</v>
      </c>
    </row>
    <row r="45" spans="1:37" x14ac:dyDescent="0.2">
      <c r="A45" s="2">
        <v>43</v>
      </c>
      <c r="B45" s="1" t="s">
        <v>21</v>
      </c>
      <c r="C45" s="1" t="s">
        <v>22</v>
      </c>
      <c r="D45" s="1" t="s">
        <v>23</v>
      </c>
      <c r="E45" s="1" t="s">
        <v>22</v>
      </c>
      <c r="F45" s="1" t="s">
        <v>22</v>
      </c>
      <c r="G45" s="1" t="s">
        <v>24</v>
      </c>
      <c r="H45" s="1" t="s">
        <v>23</v>
      </c>
      <c r="I45" s="1" t="s">
        <v>25</v>
      </c>
      <c r="J45" s="1" t="s">
        <v>23</v>
      </c>
      <c r="K45" s="1" t="s">
        <v>26</v>
      </c>
      <c r="L45" s="1" t="s">
        <v>30</v>
      </c>
      <c r="M45" s="1" t="s">
        <v>23</v>
      </c>
      <c r="N45" s="1" t="s">
        <v>28</v>
      </c>
      <c r="O45" s="1" t="s">
        <v>25</v>
      </c>
      <c r="P45" s="1" t="s">
        <v>23</v>
      </c>
      <c r="Q45" s="1" t="s">
        <v>25</v>
      </c>
      <c r="R45" s="1" t="s">
        <v>31</v>
      </c>
      <c r="S45" s="1" t="s">
        <v>24</v>
      </c>
      <c r="T45" s="1" t="s">
        <v>32</v>
      </c>
      <c r="U45">
        <v>89</v>
      </c>
      <c r="V45">
        <v>145</v>
      </c>
      <c r="W45">
        <v>21</v>
      </c>
      <c r="X45">
        <v>25</v>
      </c>
      <c r="Y45" s="53">
        <f t="shared" si="0"/>
        <v>1.6292134831460674</v>
      </c>
      <c r="Z45" s="53">
        <f t="shared" si="1"/>
        <v>0.23595505617977527</v>
      </c>
      <c r="AA45" s="53">
        <f t="shared" si="2"/>
        <v>0.2808988764044944</v>
      </c>
      <c r="AB45" s="53">
        <f t="shared" si="4"/>
        <v>0.14482758620689656</v>
      </c>
      <c r="AC45" s="53">
        <f t="shared" si="5"/>
        <v>0.17241379310344829</v>
      </c>
      <c r="AD45" s="53">
        <f t="shared" si="6"/>
        <v>1.1904761904761905</v>
      </c>
      <c r="AE45" s="53">
        <f t="shared" si="7"/>
        <v>0.61379310344827587</v>
      </c>
      <c r="AF45" s="53">
        <f t="shared" si="3"/>
        <v>4.2380952380952381</v>
      </c>
      <c r="AG45">
        <f t="shared" si="8"/>
        <v>3.56</v>
      </c>
      <c r="AH45">
        <f t="shared" si="9"/>
        <v>6.9047619047619051</v>
      </c>
      <c r="AI45">
        <f t="shared" si="10"/>
        <v>5.8</v>
      </c>
      <c r="AJ45">
        <f t="shared" si="11"/>
        <v>0.84</v>
      </c>
    </row>
    <row r="46" spans="1:37" x14ac:dyDescent="0.2">
      <c r="A46" s="2">
        <v>44</v>
      </c>
      <c r="B46" s="1" t="s">
        <v>21</v>
      </c>
      <c r="C46" s="1" t="s">
        <v>22</v>
      </c>
      <c r="D46" s="1" t="s">
        <v>23</v>
      </c>
      <c r="E46" s="1" t="s">
        <v>22</v>
      </c>
      <c r="F46" s="1" t="s">
        <v>22</v>
      </c>
      <c r="G46" s="1" t="s">
        <v>34</v>
      </c>
      <c r="H46" s="1" t="s">
        <v>23</v>
      </c>
      <c r="I46" s="1" t="s">
        <v>25</v>
      </c>
      <c r="J46" s="1" t="s">
        <v>23</v>
      </c>
      <c r="K46" s="1" t="s">
        <v>26</v>
      </c>
      <c r="L46" s="1" t="s">
        <v>30</v>
      </c>
      <c r="M46" s="1" t="s">
        <v>23</v>
      </c>
      <c r="N46" s="1" t="s">
        <v>28</v>
      </c>
      <c r="O46" s="1" t="s">
        <v>25</v>
      </c>
      <c r="P46" s="1" t="s">
        <v>23</v>
      </c>
      <c r="Q46" s="1" t="s">
        <v>23</v>
      </c>
      <c r="R46" s="1" t="s">
        <v>31</v>
      </c>
      <c r="S46" s="1" t="s">
        <v>24</v>
      </c>
      <c r="T46" s="1" t="s">
        <v>29</v>
      </c>
      <c r="U46">
        <v>87</v>
      </c>
      <c r="V46">
        <v>142</v>
      </c>
      <c r="W46">
        <v>20</v>
      </c>
      <c r="X46">
        <v>25</v>
      </c>
      <c r="Y46" s="53">
        <f t="shared" si="0"/>
        <v>1.632183908045977</v>
      </c>
      <c r="Z46" s="53">
        <f t="shared" si="1"/>
        <v>0.22988505747126436</v>
      </c>
      <c r="AA46" s="53">
        <f t="shared" si="2"/>
        <v>0.28735632183908044</v>
      </c>
      <c r="AB46" s="53">
        <f t="shared" si="4"/>
        <v>0.14084507042253522</v>
      </c>
      <c r="AC46" s="53">
        <f t="shared" si="5"/>
        <v>0.176056338028169</v>
      </c>
      <c r="AD46" s="53">
        <f t="shared" si="6"/>
        <v>1.25</v>
      </c>
      <c r="AE46" s="53">
        <f t="shared" si="7"/>
        <v>0.61267605633802813</v>
      </c>
      <c r="AF46" s="53">
        <f t="shared" si="3"/>
        <v>4.3499999999999996</v>
      </c>
      <c r="AG46">
        <f t="shared" si="8"/>
        <v>3.48</v>
      </c>
      <c r="AH46">
        <f t="shared" si="9"/>
        <v>7.1</v>
      </c>
      <c r="AI46">
        <f t="shared" si="10"/>
        <v>5.68</v>
      </c>
      <c r="AJ46">
        <f t="shared" si="11"/>
        <v>0.8</v>
      </c>
    </row>
    <row r="47" spans="1:37" x14ac:dyDescent="0.2">
      <c r="A47" s="78" t="s">
        <v>35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53">
        <f t="shared" ref="U47:X47" si="12">AVERAGE(U5:U46)</f>
        <v>87.333333333333329</v>
      </c>
      <c r="V47" s="53">
        <f t="shared" si="12"/>
        <v>143.4047619047619</v>
      </c>
      <c r="W47" s="53">
        <f t="shared" si="12"/>
        <v>21.261904761904763</v>
      </c>
      <c r="X47" s="53">
        <f t="shared" si="12"/>
        <v>24.023809523809526</v>
      </c>
      <c r="Y47" s="53">
        <f>AVERAGE(Y5:Y46)</f>
        <v>1.642054101737829</v>
      </c>
      <c r="Z47" s="53">
        <f t="shared" ref="Z47:AD47" si="13">AVERAGE(Z5:Z46)</f>
        <v>0.24352342668636676</v>
      </c>
      <c r="AA47" s="53">
        <f t="shared" si="13"/>
        <v>0.2750908175732607</v>
      </c>
      <c r="AB47" s="53">
        <f t="shared" si="13"/>
        <v>0.14829122576128348</v>
      </c>
      <c r="AC47" s="53">
        <f t="shared" si="13"/>
        <v>0.16755929235957476</v>
      </c>
      <c r="AD47" s="53">
        <f t="shared" si="13"/>
        <v>1.1320346320346322</v>
      </c>
      <c r="AE47" s="53">
        <f t="shared" ref="AE47" si="14">AVERAGE(AE5:AE46)</f>
        <v>0.60901541323982966</v>
      </c>
      <c r="AF47" s="54">
        <f t="shared" ref="AF47" si="15">AVERAGE(AF5:AF46)</f>
        <v>4.1121057513914661</v>
      </c>
      <c r="AG47" s="53">
        <f t="shared" ref="AG47" si="16">AVERAGE(AG5:AG46)</f>
        <v>3.6380434782608688</v>
      </c>
      <c r="AH47" s="53">
        <f t="shared" ref="AH47" si="17">AVERAGE(AH5:AH46)</f>
        <v>6.7514636157493282</v>
      </c>
      <c r="AI47" s="53">
        <f t="shared" ref="AI47" si="18">AVERAGE(AI5:AI46)</f>
        <v>5.9747498274672193</v>
      </c>
      <c r="AJ47" s="53">
        <f t="shared" ref="AJ47" si="19">AVERAGE(AJ5:AJ46)</f>
        <v>0.88658902691511388</v>
      </c>
      <c r="AK47" t="s">
        <v>155</v>
      </c>
    </row>
    <row r="48" spans="1:37" x14ac:dyDescent="0.2">
      <c r="U48" s="52">
        <f t="shared" ref="U48:X48" si="20">_xlfn.VAR.P(U5:U46)</f>
        <v>1.698412698412699</v>
      </c>
      <c r="V48" s="52">
        <f t="shared" si="20"/>
        <v>4.9552154195011315</v>
      </c>
      <c r="W48" s="52">
        <f t="shared" si="20"/>
        <v>0.47902494331065765</v>
      </c>
      <c r="X48" s="52">
        <f t="shared" si="20"/>
        <v>0.54705215419501119</v>
      </c>
      <c r="Y48" s="52">
        <f>_xlfn.VAR.P(Y5:Y46)</f>
        <v>9.7759140160589634E-5</v>
      </c>
      <c r="Z48" s="52">
        <f t="shared" ref="Z48:AD48" si="21">_xlfn.VAR.P(Z5:Z46)</f>
        <v>8.2597341715184871E-5</v>
      </c>
      <c r="AA48" s="52">
        <f t="shared" si="21"/>
        <v>5.9878856298255249E-5</v>
      </c>
      <c r="AB48" s="52">
        <f t="shared" si="21"/>
        <v>2.6024969035507361E-5</v>
      </c>
      <c r="AC48" s="52">
        <f t="shared" si="21"/>
        <v>3.1496566569006498E-5</v>
      </c>
      <c r="AD48" s="52">
        <f t="shared" si="21"/>
        <v>4.7170284879004751E-3</v>
      </c>
      <c r="AE48" s="52">
        <f t="shared" ref="AE48:AJ48" si="22">_xlfn.VAR.P(AE5:AE46)</f>
        <v>1.3447764778171698E-5</v>
      </c>
      <c r="AF48" s="52">
        <f t="shared" si="22"/>
        <v>2.3565421403845717E-2</v>
      </c>
      <c r="AG48" s="52">
        <f t="shared" si="22"/>
        <v>1.0494682739720547E-2</v>
      </c>
      <c r="AH48" s="52">
        <f t="shared" si="22"/>
        <v>5.3838760449989392E-2</v>
      </c>
      <c r="AI48" s="52">
        <f t="shared" si="22"/>
        <v>4.0223868085531522E-2</v>
      </c>
      <c r="AJ48" s="52">
        <f t="shared" si="22"/>
        <v>2.8328468391137173E-3</v>
      </c>
      <c r="AK48" t="s">
        <v>156</v>
      </c>
    </row>
    <row r="49" spans="21:37" x14ac:dyDescent="0.2">
      <c r="U49">
        <f t="shared" ref="U49:X49" si="23">U48/U47</f>
        <v>1.9447473645946938E-2</v>
      </c>
      <c r="V49">
        <f t="shared" si="23"/>
        <v>3.4554050741996932E-2</v>
      </c>
      <c r="W49">
        <f t="shared" si="23"/>
        <v>2.2529728576761054E-2</v>
      </c>
      <c r="X49">
        <f t="shared" si="23"/>
        <v>2.2771249233092636E-2</v>
      </c>
      <c r="Y49">
        <f>Y48/Y47</f>
        <v>5.9534664574771668E-5</v>
      </c>
      <c r="Z49">
        <f t="shared" ref="Z49:AD49" si="24">Z48/Z47</f>
        <v>3.3917616403107611E-4</v>
      </c>
      <c r="AA49">
        <f t="shared" si="24"/>
        <v>2.1766941123837634E-4</v>
      </c>
      <c r="AB49">
        <f t="shared" si="24"/>
        <v>1.7549904859106015E-4</v>
      </c>
      <c r="AC49">
        <f t="shared" si="24"/>
        <v>1.8797266403713543E-4</v>
      </c>
      <c r="AD49">
        <f t="shared" si="24"/>
        <v>4.1668588172275702E-3</v>
      </c>
      <c r="AE49">
        <f t="shared" ref="AE49" si="25">AE48/AE47</f>
        <v>2.2081156709372117E-5</v>
      </c>
      <c r="AF49">
        <f t="shared" ref="AF49" si="26">AF48/AF47</f>
        <v>5.7307430374015991E-3</v>
      </c>
      <c r="AG49">
        <f t="shared" ref="AG49" si="27">AG48/AG47</f>
        <v>2.8847051450680925E-3</v>
      </c>
      <c r="AH49">
        <f t="shared" ref="AH49" si="28">AH48/AH47</f>
        <v>7.9743835580181766E-3</v>
      </c>
      <c r="AI49">
        <f t="shared" ref="AI49" si="29">AI48/AI47</f>
        <v>6.732310012481809E-3</v>
      </c>
      <c r="AJ49">
        <f t="shared" ref="AJ49" si="30">AJ48/AJ47</f>
        <v>3.1952198291587326E-3</v>
      </c>
      <c r="AK49" t="s">
        <v>157</v>
      </c>
    </row>
    <row r="50" spans="21:37" x14ac:dyDescent="0.2">
      <c r="U50">
        <f t="shared" ref="U50:X50" si="31">U48/U47/U47</f>
        <v>2.2268099594595733E-4</v>
      </c>
      <c r="V50">
        <f t="shared" si="31"/>
        <v>2.4095469552778867E-4</v>
      </c>
      <c r="W50">
        <f t="shared" si="31"/>
        <v>1.0596288916281795E-3</v>
      </c>
      <c r="X50">
        <f t="shared" si="31"/>
        <v>9.4786171237848426E-4</v>
      </c>
      <c r="Y50">
        <f>Y48/Y47/Y47</f>
        <v>3.6256213794517835E-5</v>
      </c>
      <c r="Z50">
        <f t="shared" ref="Z50:AD50" si="32">Z48/Z47/Z47</f>
        <v>1.3927865940712976E-3</v>
      </c>
      <c r="AA50">
        <f t="shared" si="32"/>
        <v>7.9126382028512385E-4</v>
      </c>
      <c r="AB50">
        <f t="shared" si="32"/>
        <v>1.1834756081494351E-3</v>
      </c>
      <c r="AC50">
        <f t="shared" si="32"/>
        <v>1.1218277505836828E-3</v>
      </c>
      <c r="AD50">
        <f t="shared" si="32"/>
        <v>3.6808580756388857E-3</v>
      </c>
      <c r="AE50">
        <f t="shared" ref="AE50:AJ50" si="33">AE48/AE47/AE47</f>
        <v>3.6257139358600399E-5</v>
      </c>
      <c r="AF50">
        <f t="shared" si="33"/>
        <v>1.3936273490686405E-3</v>
      </c>
      <c r="AG50">
        <f t="shared" si="33"/>
        <v>7.9292761680987316E-4</v>
      </c>
      <c r="AH50">
        <f t="shared" si="33"/>
        <v>1.181134049129156E-3</v>
      </c>
      <c r="AI50">
        <f t="shared" si="33"/>
        <v>1.1267936243174437E-3</v>
      </c>
      <c r="AJ50">
        <f t="shared" si="33"/>
        <v>3.6039469609459285E-3</v>
      </c>
      <c r="AK50" t="s">
        <v>158</v>
      </c>
    </row>
    <row r="51" spans="21:37" x14ac:dyDescent="0.2">
      <c r="U51">
        <f>SQRT(U48)</f>
        <v>1.3032316365146677</v>
      </c>
      <c r="V51">
        <f t="shared" ref="V51:AD51" si="34">SQRT(V48)</f>
        <v>2.2260313159300189</v>
      </c>
      <c r="W51">
        <f t="shared" si="34"/>
        <v>0.69211627874993498</v>
      </c>
      <c r="X51">
        <f t="shared" si="34"/>
        <v>0.73962974128614589</v>
      </c>
      <c r="Y51">
        <f t="shared" si="34"/>
        <v>9.8873221936270298E-3</v>
      </c>
      <c r="Z51">
        <f t="shared" si="34"/>
        <v>9.0883079676683971E-3</v>
      </c>
      <c r="AA51">
        <f t="shared" si="34"/>
        <v>7.7381429489416422E-3</v>
      </c>
      <c r="AB51">
        <f t="shared" si="34"/>
        <v>5.1014673414133864E-3</v>
      </c>
      <c r="AC51">
        <f t="shared" si="34"/>
        <v>5.6121801974817684E-3</v>
      </c>
      <c r="AD51">
        <f t="shared" si="34"/>
        <v>6.8680626729089145E-2</v>
      </c>
      <c r="AE51">
        <f t="shared" ref="AE51:AJ51" si="35">SQRT(AE48)</f>
        <v>3.6671194114961266E-3</v>
      </c>
      <c r="AF51">
        <f t="shared" si="35"/>
        <v>0.15351032995810321</v>
      </c>
      <c r="AG51">
        <f t="shared" si="35"/>
        <v>0.10244355880054415</v>
      </c>
      <c r="AH51">
        <f t="shared" si="35"/>
        <v>0.23203180913398361</v>
      </c>
      <c r="AI51">
        <f t="shared" si="35"/>
        <v>0.20055888932064697</v>
      </c>
      <c r="AJ51">
        <f t="shared" si="35"/>
        <v>5.3224494728590116E-2</v>
      </c>
      <c r="AK51" t="s">
        <v>159</v>
      </c>
    </row>
    <row r="52" spans="21:37" x14ac:dyDescent="0.2">
      <c r="AE52" s="53"/>
    </row>
  </sheetData>
  <mergeCells count="2">
    <mergeCell ref="A1:T1"/>
    <mergeCell ref="A47:T47"/>
  </mergeCells>
  <phoneticPr fontId="5" type="noConversion"/>
  <conditionalFormatting sqref="U49:X4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0:X5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9:AJ4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0:AJ5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8:X4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8:AJ4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opLeftCell="B1" zoomScale="130" zoomScaleNormal="130" workbookViewId="0">
      <selection activeCell="H16" sqref="G16:H16"/>
    </sheetView>
  </sheetViews>
  <sheetFormatPr defaultRowHeight="14.25" x14ac:dyDescent="0.2"/>
  <sheetData>
    <row r="1" spans="1:20" ht="30.95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2">
      <c r="A3" s="2">
        <v>1</v>
      </c>
      <c r="B3" s="1" t="s">
        <v>23</v>
      </c>
      <c r="C3" s="1" t="s">
        <v>22</v>
      </c>
      <c r="D3" s="1" t="s">
        <v>23</v>
      </c>
      <c r="E3" s="1" t="s">
        <v>22</v>
      </c>
      <c r="F3" s="1" t="s">
        <v>22</v>
      </c>
      <c r="G3" s="1" t="s">
        <v>24</v>
      </c>
      <c r="H3" s="1" t="s">
        <v>23</v>
      </c>
      <c r="I3" s="1" t="s">
        <v>36</v>
      </c>
      <c r="J3" s="1" t="s">
        <v>23</v>
      </c>
      <c r="K3" s="1" t="s">
        <v>26</v>
      </c>
      <c r="L3" s="1" t="s">
        <v>27</v>
      </c>
      <c r="M3" s="1" t="s">
        <v>23</v>
      </c>
      <c r="N3" s="1" t="s">
        <v>28</v>
      </c>
      <c r="O3" s="1" t="s">
        <v>36</v>
      </c>
      <c r="P3" s="1" t="s">
        <v>23</v>
      </c>
      <c r="Q3" s="1" t="s">
        <v>23</v>
      </c>
      <c r="R3" s="1" t="s">
        <v>24</v>
      </c>
      <c r="S3" s="1" t="s">
        <v>24</v>
      </c>
      <c r="T3" s="1" t="s">
        <v>142</v>
      </c>
    </row>
    <row r="4" spans="1:20" x14ac:dyDescent="0.2">
      <c r="A4" s="2">
        <v>2</v>
      </c>
      <c r="B4" s="1" t="s">
        <v>23</v>
      </c>
      <c r="C4" s="1" t="s">
        <v>22</v>
      </c>
      <c r="D4" s="1" t="s">
        <v>23</v>
      </c>
      <c r="E4" s="1" t="s">
        <v>22</v>
      </c>
      <c r="F4" s="1" t="s">
        <v>22</v>
      </c>
      <c r="G4" s="1" t="s">
        <v>24</v>
      </c>
      <c r="H4" s="1" t="s">
        <v>23</v>
      </c>
      <c r="I4" s="1" t="s">
        <v>36</v>
      </c>
      <c r="J4" s="1" t="s">
        <v>23</v>
      </c>
      <c r="K4" s="1" t="s">
        <v>26</v>
      </c>
      <c r="L4" s="1" t="s">
        <v>38</v>
      </c>
      <c r="M4" s="1" t="s">
        <v>23</v>
      </c>
      <c r="N4" s="1" t="s">
        <v>28</v>
      </c>
      <c r="O4" s="1" t="s">
        <v>36</v>
      </c>
      <c r="P4" s="1" t="s">
        <v>23</v>
      </c>
      <c r="Q4" s="1" t="s">
        <v>37</v>
      </c>
      <c r="R4" s="1" t="s">
        <v>24</v>
      </c>
      <c r="S4" s="1" t="s">
        <v>24</v>
      </c>
      <c r="T4" s="1" t="s">
        <v>142</v>
      </c>
    </row>
    <row r="5" spans="1:20" x14ac:dyDescent="0.2">
      <c r="A5" s="2">
        <v>3</v>
      </c>
      <c r="B5" s="1" t="s">
        <v>23</v>
      </c>
      <c r="C5" s="1" t="s">
        <v>22</v>
      </c>
      <c r="D5" s="1" t="s">
        <v>23</v>
      </c>
      <c r="E5" s="1" t="s">
        <v>22</v>
      </c>
      <c r="F5" s="1" t="s">
        <v>22</v>
      </c>
      <c r="G5" s="1" t="s">
        <v>24</v>
      </c>
      <c r="H5" s="1" t="s">
        <v>23</v>
      </c>
      <c r="I5" s="1" t="s">
        <v>25</v>
      </c>
      <c r="J5" s="1" t="s">
        <v>23</v>
      </c>
      <c r="K5" s="1" t="s">
        <v>26</v>
      </c>
      <c r="L5" s="1" t="s">
        <v>39</v>
      </c>
      <c r="M5" s="1" t="s">
        <v>23</v>
      </c>
      <c r="N5" s="1" t="s">
        <v>28</v>
      </c>
      <c r="O5" s="1" t="s">
        <v>25</v>
      </c>
      <c r="P5" s="1" t="s">
        <v>23</v>
      </c>
      <c r="Q5" s="1" t="s">
        <v>23</v>
      </c>
      <c r="R5" s="1" t="s">
        <v>24</v>
      </c>
      <c r="S5" s="1" t="s">
        <v>24</v>
      </c>
      <c r="T5" s="1" t="s">
        <v>142</v>
      </c>
    </row>
    <row r="6" spans="1:20" x14ac:dyDescent="0.2">
      <c r="A6" s="2">
        <v>4</v>
      </c>
      <c r="B6" s="1" t="s">
        <v>23</v>
      </c>
      <c r="C6" s="1" t="s">
        <v>22</v>
      </c>
      <c r="D6" s="1" t="s">
        <v>23</v>
      </c>
      <c r="E6" s="1" t="s">
        <v>26</v>
      </c>
      <c r="F6" s="1" t="s">
        <v>22</v>
      </c>
      <c r="G6" s="1" t="s">
        <v>24</v>
      </c>
      <c r="H6" s="1" t="s">
        <v>23</v>
      </c>
      <c r="I6" s="1" t="s">
        <v>25</v>
      </c>
      <c r="J6" s="1" t="s">
        <v>23</v>
      </c>
      <c r="K6" s="1" t="s">
        <v>26</v>
      </c>
      <c r="L6" s="1" t="s">
        <v>30</v>
      </c>
      <c r="M6" s="1" t="s">
        <v>23</v>
      </c>
      <c r="N6" s="1" t="s">
        <v>28</v>
      </c>
      <c r="O6" s="1" t="s">
        <v>25</v>
      </c>
      <c r="P6" s="1" t="s">
        <v>23</v>
      </c>
      <c r="Q6" s="1" t="s">
        <v>23</v>
      </c>
      <c r="R6" s="1" t="s">
        <v>24</v>
      </c>
      <c r="S6" s="1" t="s">
        <v>24</v>
      </c>
      <c r="T6" s="1" t="s">
        <v>142</v>
      </c>
    </row>
    <row r="7" spans="1:20" x14ac:dyDescent="0.2">
      <c r="A7" s="2">
        <v>5</v>
      </c>
      <c r="B7" s="1" t="s">
        <v>23</v>
      </c>
      <c r="C7" s="1" t="s">
        <v>22</v>
      </c>
      <c r="D7" s="1" t="s">
        <v>23</v>
      </c>
      <c r="E7" s="1" t="s">
        <v>22</v>
      </c>
      <c r="F7" s="1" t="s">
        <v>22</v>
      </c>
      <c r="G7" s="1" t="s">
        <v>24</v>
      </c>
      <c r="H7" s="1" t="s">
        <v>23</v>
      </c>
      <c r="I7" s="1" t="s">
        <v>30</v>
      </c>
      <c r="J7" s="1" t="s">
        <v>23</v>
      </c>
      <c r="K7" s="1" t="s">
        <v>26</v>
      </c>
      <c r="L7" s="1" t="s">
        <v>30</v>
      </c>
      <c r="M7" s="1" t="s">
        <v>23</v>
      </c>
      <c r="N7" s="1" t="s">
        <v>28</v>
      </c>
      <c r="O7" s="1" t="s">
        <v>25</v>
      </c>
      <c r="P7" s="1" t="s">
        <v>23</v>
      </c>
      <c r="Q7" s="1" t="s">
        <v>23</v>
      </c>
      <c r="R7" s="1" t="s">
        <v>24</v>
      </c>
      <c r="S7" s="1" t="s">
        <v>24</v>
      </c>
      <c r="T7" s="1" t="s">
        <v>142</v>
      </c>
    </row>
    <row r="8" spans="1:20" x14ac:dyDescent="0.2">
      <c r="A8" s="2">
        <v>6</v>
      </c>
      <c r="B8" s="1" t="s">
        <v>23</v>
      </c>
      <c r="C8" s="1" t="s">
        <v>22</v>
      </c>
      <c r="D8" s="1" t="s">
        <v>23</v>
      </c>
      <c r="E8" s="1" t="s">
        <v>26</v>
      </c>
      <c r="F8" s="1" t="s">
        <v>22</v>
      </c>
      <c r="G8" s="1" t="s">
        <v>24</v>
      </c>
      <c r="H8" s="1" t="s">
        <v>23</v>
      </c>
      <c r="I8" s="1" t="s">
        <v>25</v>
      </c>
      <c r="J8" s="1" t="s">
        <v>23</v>
      </c>
      <c r="K8" s="1" t="s">
        <v>26</v>
      </c>
      <c r="L8" s="1" t="s">
        <v>30</v>
      </c>
      <c r="M8" s="1" t="s">
        <v>23</v>
      </c>
      <c r="N8" s="1" t="s">
        <v>28</v>
      </c>
      <c r="O8" s="1" t="s">
        <v>25</v>
      </c>
      <c r="P8" s="1" t="s">
        <v>23</v>
      </c>
      <c r="Q8" s="1" t="s">
        <v>25</v>
      </c>
      <c r="R8" s="1" t="s">
        <v>24</v>
      </c>
      <c r="S8" s="1" t="s">
        <v>24</v>
      </c>
      <c r="T8" s="1" t="s">
        <v>142</v>
      </c>
    </row>
    <row r="9" spans="1:20" x14ac:dyDescent="0.2">
      <c r="A9" s="2">
        <v>7</v>
      </c>
      <c r="B9" s="1" t="s">
        <v>23</v>
      </c>
      <c r="C9" s="1" t="s">
        <v>22</v>
      </c>
      <c r="D9" s="1" t="s">
        <v>23</v>
      </c>
      <c r="E9" s="1" t="s">
        <v>26</v>
      </c>
      <c r="F9" s="1" t="s">
        <v>22</v>
      </c>
      <c r="G9" s="1" t="s">
        <v>24</v>
      </c>
      <c r="H9" s="1" t="s">
        <v>23</v>
      </c>
      <c r="I9" s="1" t="s">
        <v>25</v>
      </c>
      <c r="J9" s="1" t="s">
        <v>23</v>
      </c>
      <c r="K9" s="1" t="s">
        <v>26</v>
      </c>
      <c r="L9" s="1" t="s">
        <v>30</v>
      </c>
      <c r="M9" s="1" t="s">
        <v>23</v>
      </c>
      <c r="N9" s="1" t="s">
        <v>28</v>
      </c>
      <c r="O9" s="1" t="s">
        <v>25</v>
      </c>
      <c r="P9" s="1" t="s">
        <v>23</v>
      </c>
      <c r="Q9" s="1" t="s">
        <v>23</v>
      </c>
      <c r="R9" s="1" t="s">
        <v>31</v>
      </c>
      <c r="S9" s="1" t="s">
        <v>24</v>
      </c>
      <c r="T9" s="1" t="s">
        <v>142</v>
      </c>
    </row>
    <row r="10" spans="1:20" x14ac:dyDescent="0.2">
      <c r="A10" s="2">
        <v>8</v>
      </c>
      <c r="B10" s="1" t="s">
        <v>23</v>
      </c>
      <c r="C10" s="1" t="s">
        <v>22</v>
      </c>
      <c r="D10" s="1" t="s">
        <v>23</v>
      </c>
      <c r="E10" s="1" t="s">
        <v>26</v>
      </c>
      <c r="F10" s="1" t="s">
        <v>22</v>
      </c>
      <c r="G10" s="1" t="s">
        <v>24</v>
      </c>
      <c r="H10" s="1" t="s">
        <v>23</v>
      </c>
      <c r="I10" s="1" t="s">
        <v>25</v>
      </c>
      <c r="J10" s="1" t="s">
        <v>23</v>
      </c>
      <c r="K10" s="1" t="s">
        <v>26</v>
      </c>
      <c r="L10" s="1" t="s">
        <v>30</v>
      </c>
      <c r="M10" s="1" t="s">
        <v>23</v>
      </c>
      <c r="N10" s="1" t="s">
        <v>28</v>
      </c>
      <c r="O10" s="1" t="s">
        <v>25</v>
      </c>
      <c r="P10" s="1" t="s">
        <v>23</v>
      </c>
      <c r="Q10" s="1" t="s">
        <v>23</v>
      </c>
      <c r="R10" s="1" t="s">
        <v>24</v>
      </c>
      <c r="S10" s="1" t="s">
        <v>24</v>
      </c>
      <c r="T10" s="1" t="s">
        <v>142</v>
      </c>
    </row>
    <row r="11" spans="1:20" x14ac:dyDescent="0.2">
      <c r="A11" s="2">
        <v>9</v>
      </c>
      <c r="B11" s="1" t="s">
        <v>23</v>
      </c>
      <c r="C11" s="1" t="s">
        <v>22</v>
      </c>
      <c r="D11" s="1" t="s">
        <v>23</v>
      </c>
      <c r="E11" s="1" t="s">
        <v>22</v>
      </c>
      <c r="F11" s="1" t="s">
        <v>22</v>
      </c>
      <c r="G11" s="1" t="s">
        <v>24</v>
      </c>
      <c r="H11" s="1" t="s">
        <v>23</v>
      </c>
      <c r="I11" s="1" t="s">
        <v>25</v>
      </c>
      <c r="J11" s="1" t="s">
        <v>23</v>
      </c>
      <c r="K11" s="1" t="s">
        <v>26</v>
      </c>
      <c r="L11" s="1" t="s">
        <v>30</v>
      </c>
      <c r="M11" s="1" t="s">
        <v>23</v>
      </c>
      <c r="N11" s="1" t="s">
        <v>28</v>
      </c>
      <c r="O11" s="1" t="s">
        <v>25</v>
      </c>
      <c r="P11" s="1" t="s">
        <v>23</v>
      </c>
      <c r="Q11" s="1" t="s">
        <v>25</v>
      </c>
      <c r="R11" s="1" t="s">
        <v>24</v>
      </c>
      <c r="S11" s="1" t="s">
        <v>24</v>
      </c>
      <c r="T11" s="1" t="s">
        <v>142</v>
      </c>
    </row>
    <row r="12" spans="1:20" x14ac:dyDescent="0.2">
      <c r="A12" s="2">
        <v>10</v>
      </c>
      <c r="B12" s="1" t="s">
        <v>23</v>
      </c>
      <c r="C12" s="1" t="s">
        <v>22</v>
      </c>
      <c r="D12" s="1" t="s">
        <v>23</v>
      </c>
      <c r="E12" s="1" t="s">
        <v>22</v>
      </c>
      <c r="F12" s="1" t="s">
        <v>22</v>
      </c>
      <c r="G12" s="1" t="s">
        <v>24</v>
      </c>
      <c r="H12" s="1" t="s">
        <v>23</v>
      </c>
      <c r="I12" s="1" t="s">
        <v>25</v>
      </c>
      <c r="J12" s="1" t="s">
        <v>23</v>
      </c>
      <c r="K12" s="1" t="s">
        <v>26</v>
      </c>
      <c r="L12" s="1" t="s">
        <v>30</v>
      </c>
      <c r="M12" s="1" t="s">
        <v>23</v>
      </c>
      <c r="N12" s="1" t="s">
        <v>28</v>
      </c>
      <c r="O12" s="1" t="s">
        <v>25</v>
      </c>
      <c r="P12" s="1" t="s">
        <v>23</v>
      </c>
      <c r="Q12" s="1" t="s">
        <v>23</v>
      </c>
      <c r="R12" s="1" t="s">
        <v>31</v>
      </c>
      <c r="S12" s="1" t="s">
        <v>24</v>
      </c>
      <c r="T12" s="1" t="s">
        <v>142</v>
      </c>
    </row>
    <row r="13" spans="1:20" x14ac:dyDescent="0.2">
      <c r="A13" s="2">
        <v>11</v>
      </c>
      <c r="B13" s="1" t="s">
        <v>23</v>
      </c>
      <c r="C13" s="1" t="s">
        <v>22</v>
      </c>
      <c r="D13" s="1" t="s">
        <v>23</v>
      </c>
      <c r="E13" s="1" t="s">
        <v>22</v>
      </c>
      <c r="F13" s="1" t="s">
        <v>22</v>
      </c>
      <c r="G13" s="1" t="s">
        <v>24</v>
      </c>
      <c r="H13" s="1" t="s">
        <v>23</v>
      </c>
      <c r="I13" s="1" t="s">
        <v>25</v>
      </c>
      <c r="J13" s="1" t="s">
        <v>23</v>
      </c>
      <c r="K13" s="1" t="s">
        <v>26</v>
      </c>
      <c r="L13" s="1" t="s">
        <v>30</v>
      </c>
      <c r="M13" s="1" t="s">
        <v>23</v>
      </c>
      <c r="N13" s="1" t="s">
        <v>28</v>
      </c>
      <c r="O13" s="1" t="s">
        <v>25</v>
      </c>
      <c r="P13" s="1" t="s">
        <v>23</v>
      </c>
      <c r="Q13" s="1" t="s">
        <v>25</v>
      </c>
      <c r="R13" s="1" t="s">
        <v>24</v>
      </c>
      <c r="S13" s="1" t="s">
        <v>24</v>
      </c>
      <c r="T13" s="1" t="s">
        <v>143</v>
      </c>
    </row>
    <row r="14" spans="1:20" x14ac:dyDescent="0.2">
      <c r="A14" s="2">
        <v>12</v>
      </c>
      <c r="B14" s="1" t="s">
        <v>23</v>
      </c>
      <c r="C14" s="1" t="s">
        <v>22</v>
      </c>
      <c r="D14" s="1" t="s">
        <v>23</v>
      </c>
      <c r="E14" s="1" t="s">
        <v>22</v>
      </c>
      <c r="F14" s="1" t="s">
        <v>22</v>
      </c>
      <c r="G14" s="1" t="s">
        <v>24</v>
      </c>
      <c r="H14" s="1" t="s">
        <v>23</v>
      </c>
      <c r="I14" s="1" t="s">
        <v>30</v>
      </c>
      <c r="J14" s="1" t="s">
        <v>23</v>
      </c>
      <c r="K14" s="1" t="s">
        <v>26</v>
      </c>
      <c r="L14" s="1" t="s">
        <v>30</v>
      </c>
      <c r="M14" s="1" t="s">
        <v>23</v>
      </c>
      <c r="N14" s="1" t="s">
        <v>28</v>
      </c>
      <c r="O14" s="1" t="s">
        <v>25</v>
      </c>
      <c r="P14" s="1" t="s">
        <v>23</v>
      </c>
      <c r="Q14" s="1" t="s">
        <v>25</v>
      </c>
      <c r="R14" s="1" t="s">
        <v>24</v>
      </c>
      <c r="S14" s="1" t="s">
        <v>24</v>
      </c>
      <c r="T14" s="1" t="s">
        <v>142</v>
      </c>
    </row>
    <row r="15" spans="1:20" x14ac:dyDescent="0.2">
      <c r="A15" s="2">
        <v>13</v>
      </c>
      <c r="B15" s="1" t="s">
        <v>23</v>
      </c>
      <c r="C15" s="1" t="s">
        <v>22</v>
      </c>
      <c r="D15" s="1" t="s">
        <v>23</v>
      </c>
      <c r="E15" s="1" t="s">
        <v>26</v>
      </c>
      <c r="F15" s="1" t="s">
        <v>22</v>
      </c>
      <c r="G15" s="1" t="s">
        <v>24</v>
      </c>
      <c r="H15" s="1" t="s">
        <v>23</v>
      </c>
      <c r="I15" s="1" t="s">
        <v>25</v>
      </c>
      <c r="J15" s="1" t="s">
        <v>23</v>
      </c>
      <c r="K15" s="1" t="s">
        <v>26</v>
      </c>
      <c r="L15" s="1" t="s">
        <v>30</v>
      </c>
      <c r="M15" s="1" t="s">
        <v>23</v>
      </c>
      <c r="N15" s="1" t="s">
        <v>28</v>
      </c>
      <c r="O15" s="1" t="s">
        <v>25</v>
      </c>
      <c r="P15" s="1" t="s">
        <v>23</v>
      </c>
      <c r="Q15" s="1" t="s">
        <v>25</v>
      </c>
      <c r="R15" s="1" t="s">
        <v>24</v>
      </c>
      <c r="S15" s="1" t="s">
        <v>24</v>
      </c>
      <c r="T15" s="1" t="s">
        <v>142</v>
      </c>
    </row>
    <row r="16" spans="1:20" x14ac:dyDescent="0.2">
      <c r="A16" s="2">
        <v>14</v>
      </c>
      <c r="B16" s="1" t="s">
        <v>23</v>
      </c>
      <c r="C16" s="1" t="s">
        <v>22</v>
      </c>
      <c r="D16" s="1" t="s">
        <v>23</v>
      </c>
      <c r="E16" s="1" t="s">
        <v>22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23</v>
      </c>
      <c r="K16" s="1" t="s">
        <v>26</v>
      </c>
      <c r="L16" s="1" t="s">
        <v>25</v>
      </c>
      <c r="M16" s="1" t="s">
        <v>23</v>
      </c>
      <c r="N16" s="1" t="s">
        <v>28</v>
      </c>
      <c r="O16" s="1" t="s">
        <v>25</v>
      </c>
      <c r="P16" s="1" t="s">
        <v>23</v>
      </c>
      <c r="Q16" s="1" t="s">
        <v>23</v>
      </c>
      <c r="R16" s="1" t="s">
        <v>24</v>
      </c>
      <c r="S16" s="1" t="s">
        <v>24</v>
      </c>
      <c r="T16" s="1" t="s">
        <v>142</v>
      </c>
    </row>
    <row r="17" spans="1:20" x14ac:dyDescent="0.2">
      <c r="A17" s="2">
        <v>15</v>
      </c>
      <c r="B17" s="1" t="s">
        <v>23</v>
      </c>
      <c r="C17" s="1" t="s">
        <v>22</v>
      </c>
      <c r="D17" s="1" t="s">
        <v>23</v>
      </c>
      <c r="E17" s="1" t="s">
        <v>22</v>
      </c>
      <c r="F17" s="1" t="s">
        <v>22</v>
      </c>
      <c r="G17" s="1" t="s">
        <v>24</v>
      </c>
      <c r="H17" s="1" t="s">
        <v>23</v>
      </c>
      <c r="I17" s="1" t="s">
        <v>25</v>
      </c>
      <c r="J17" s="1" t="s">
        <v>23</v>
      </c>
      <c r="K17" s="1" t="s">
        <v>26</v>
      </c>
      <c r="L17" s="1" t="s">
        <v>30</v>
      </c>
      <c r="M17" s="1" t="s">
        <v>23</v>
      </c>
      <c r="N17" s="1" t="s">
        <v>28</v>
      </c>
      <c r="O17" s="1" t="s">
        <v>25</v>
      </c>
      <c r="P17" s="1" t="s">
        <v>23</v>
      </c>
      <c r="Q17" s="1" t="s">
        <v>23</v>
      </c>
      <c r="R17" s="1" t="s">
        <v>24</v>
      </c>
      <c r="S17" s="1" t="s">
        <v>24</v>
      </c>
      <c r="T17" s="1" t="s">
        <v>142</v>
      </c>
    </row>
    <row r="18" spans="1:20" x14ac:dyDescent="0.2">
      <c r="A18" s="2">
        <v>16</v>
      </c>
      <c r="B18" s="1" t="s">
        <v>23</v>
      </c>
      <c r="C18" s="1" t="s">
        <v>22</v>
      </c>
      <c r="D18" s="1" t="s">
        <v>23</v>
      </c>
      <c r="E18" s="1" t="s">
        <v>22</v>
      </c>
      <c r="F18" s="1" t="s">
        <v>23</v>
      </c>
      <c r="G18" s="1" t="s">
        <v>24</v>
      </c>
      <c r="H18" s="1" t="s">
        <v>23</v>
      </c>
      <c r="I18" s="1" t="s">
        <v>25</v>
      </c>
      <c r="J18" s="1" t="s">
        <v>23</v>
      </c>
      <c r="K18" s="1" t="s">
        <v>26</v>
      </c>
      <c r="L18" s="1" t="s">
        <v>30</v>
      </c>
      <c r="M18" s="1" t="s">
        <v>23</v>
      </c>
      <c r="N18" s="1" t="s">
        <v>28</v>
      </c>
      <c r="O18" s="1" t="s">
        <v>25</v>
      </c>
      <c r="P18" s="1" t="s">
        <v>23</v>
      </c>
      <c r="Q18" s="1" t="s">
        <v>23</v>
      </c>
      <c r="R18" s="1" t="s">
        <v>24</v>
      </c>
      <c r="S18" s="1" t="s">
        <v>24</v>
      </c>
      <c r="T18" s="1" t="s">
        <v>142</v>
      </c>
    </row>
    <row r="19" spans="1:20" x14ac:dyDescent="0.2">
      <c r="A19" s="2">
        <v>17</v>
      </c>
      <c r="B19" s="1" t="s">
        <v>23</v>
      </c>
      <c r="C19" s="1" t="s">
        <v>22</v>
      </c>
      <c r="D19" s="1" t="s">
        <v>23</v>
      </c>
      <c r="E19" s="1" t="s">
        <v>22</v>
      </c>
      <c r="F19" s="1" t="s">
        <v>23</v>
      </c>
      <c r="G19" s="1" t="s">
        <v>24</v>
      </c>
      <c r="H19" s="1" t="s">
        <v>23</v>
      </c>
      <c r="I19" s="1" t="s">
        <v>25</v>
      </c>
      <c r="J19" s="1" t="s">
        <v>23</v>
      </c>
      <c r="K19" s="1" t="s">
        <v>26</v>
      </c>
      <c r="L19" s="1" t="s">
        <v>30</v>
      </c>
      <c r="M19" s="1" t="s">
        <v>23</v>
      </c>
      <c r="N19" s="1" t="s">
        <v>28</v>
      </c>
      <c r="O19" s="1" t="s">
        <v>25</v>
      </c>
      <c r="P19" s="1" t="s">
        <v>23</v>
      </c>
      <c r="Q19" s="1" t="s">
        <v>25</v>
      </c>
      <c r="R19" s="1" t="s">
        <v>24</v>
      </c>
      <c r="S19" s="1" t="s">
        <v>24</v>
      </c>
      <c r="T19" s="1" t="s">
        <v>142</v>
      </c>
    </row>
    <row r="20" spans="1:20" x14ac:dyDescent="0.2">
      <c r="A20" s="2">
        <v>18</v>
      </c>
      <c r="B20" s="1" t="s">
        <v>23</v>
      </c>
      <c r="C20" s="1" t="s">
        <v>22</v>
      </c>
      <c r="D20" s="1" t="s">
        <v>23</v>
      </c>
      <c r="E20" s="1" t="s">
        <v>22</v>
      </c>
      <c r="F20" s="1" t="s">
        <v>22</v>
      </c>
      <c r="G20" s="1" t="s">
        <v>24</v>
      </c>
      <c r="H20" s="1" t="s">
        <v>23</v>
      </c>
      <c r="I20" s="1" t="s">
        <v>25</v>
      </c>
      <c r="J20" s="1" t="s">
        <v>23</v>
      </c>
      <c r="K20" s="1" t="s">
        <v>26</v>
      </c>
      <c r="L20" s="1" t="s">
        <v>30</v>
      </c>
      <c r="M20" s="1" t="s">
        <v>23</v>
      </c>
      <c r="N20" s="1" t="s">
        <v>28</v>
      </c>
      <c r="O20" s="1" t="s">
        <v>25</v>
      </c>
      <c r="P20" s="1" t="s">
        <v>23</v>
      </c>
      <c r="Q20" s="1" t="s">
        <v>23</v>
      </c>
      <c r="R20" s="1" t="s">
        <v>34</v>
      </c>
      <c r="S20" s="1" t="s">
        <v>24</v>
      </c>
      <c r="T20" s="1" t="s">
        <v>142</v>
      </c>
    </row>
    <row r="21" spans="1:20" x14ac:dyDescent="0.2">
      <c r="A21" s="2">
        <v>19</v>
      </c>
      <c r="B21" s="1" t="s">
        <v>23</v>
      </c>
      <c r="C21" s="1" t="s">
        <v>22</v>
      </c>
      <c r="D21" s="1" t="s">
        <v>23</v>
      </c>
      <c r="E21" s="1" t="s">
        <v>22</v>
      </c>
      <c r="F21" s="1" t="s">
        <v>22</v>
      </c>
      <c r="G21" s="1" t="s">
        <v>24</v>
      </c>
      <c r="H21" s="1" t="s">
        <v>23</v>
      </c>
      <c r="I21" s="1" t="s">
        <v>25</v>
      </c>
      <c r="J21" s="1" t="s">
        <v>23</v>
      </c>
      <c r="K21" s="1" t="s">
        <v>26</v>
      </c>
      <c r="L21" s="1" t="s">
        <v>30</v>
      </c>
      <c r="M21" s="1" t="s">
        <v>23</v>
      </c>
      <c r="N21" s="1" t="s">
        <v>28</v>
      </c>
      <c r="O21" s="1" t="s">
        <v>25</v>
      </c>
      <c r="P21" s="1" t="s">
        <v>23</v>
      </c>
      <c r="Q21" s="1" t="s">
        <v>25</v>
      </c>
      <c r="R21" s="1" t="s">
        <v>31</v>
      </c>
      <c r="S21" s="1" t="s">
        <v>24</v>
      </c>
      <c r="T21" s="1" t="s">
        <v>142</v>
      </c>
    </row>
    <row r="22" spans="1:20" x14ac:dyDescent="0.2">
      <c r="A22" s="2">
        <v>20</v>
      </c>
      <c r="B22" s="1" t="s">
        <v>23</v>
      </c>
      <c r="C22" s="1" t="s">
        <v>22</v>
      </c>
      <c r="D22" s="1" t="s">
        <v>23</v>
      </c>
      <c r="E22" s="1" t="s">
        <v>22</v>
      </c>
      <c r="F22" s="1" t="s">
        <v>22</v>
      </c>
      <c r="G22" s="1" t="s">
        <v>34</v>
      </c>
      <c r="H22" s="1" t="s">
        <v>23</v>
      </c>
      <c r="I22" s="1" t="s">
        <v>25</v>
      </c>
      <c r="J22" s="1" t="s">
        <v>23</v>
      </c>
      <c r="K22" s="1" t="s">
        <v>26</v>
      </c>
      <c r="L22" s="1" t="s">
        <v>30</v>
      </c>
      <c r="M22" s="1" t="s">
        <v>23</v>
      </c>
      <c r="N22" s="1" t="s">
        <v>28</v>
      </c>
      <c r="O22" s="1" t="s">
        <v>25</v>
      </c>
      <c r="P22" s="1" t="s">
        <v>23</v>
      </c>
      <c r="Q22" s="1" t="s">
        <v>23</v>
      </c>
      <c r="R22" s="1" t="s">
        <v>34</v>
      </c>
      <c r="S22" s="1" t="s">
        <v>24</v>
      </c>
      <c r="T22" s="1" t="s">
        <v>142</v>
      </c>
    </row>
    <row r="23" spans="1:20" x14ac:dyDescent="0.2">
      <c r="A23" s="2">
        <v>21</v>
      </c>
      <c r="B23" s="1" t="s">
        <v>23</v>
      </c>
      <c r="C23" s="1" t="s">
        <v>22</v>
      </c>
      <c r="D23" s="1" t="s">
        <v>23</v>
      </c>
      <c r="E23" s="1" t="s">
        <v>22</v>
      </c>
      <c r="F23" s="1" t="s">
        <v>22</v>
      </c>
      <c r="G23" s="1" t="s">
        <v>34</v>
      </c>
      <c r="H23" s="1" t="s">
        <v>23</v>
      </c>
      <c r="I23" s="1" t="s">
        <v>25</v>
      </c>
      <c r="J23" s="1" t="s">
        <v>23</v>
      </c>
      <c r="K23" s="1" t="s">
        <v>26</v>
      </c>
      <c r="L23" s="1" t="s">
        <v>30</v>
      </c>
      <c r="M23" s="1" t="s">
        <v>23</v>
      </c>
      <c r="N23" s="1" t="s">
        <v>28</v>
      </c>
      <c r="O23" s="1" t="s">
        <v>25</v>
      </c>
      <c r="P23" s="1" t="s">
        <v>23</v>
      </c>
      <c r="Q23" s="1" t="s">
        <v>25</v>
      </c>
      <c r="R23" s="1" t="s">
        <v>24</v>
      </c>
      <c r="S23" s="1" t="s">
        <v>24</v>
      </c>
      <c r="T23" s="1" t="s">
        <v>142</v>
      </c>
    </row>
    <row r="24" spans="1:20" x14ac:dyDescent="0.2">
      <c r="A24" s="2">
        <v>22</v>
      </c>
      <c r="B24" s="1" t="s">
        <v>23</v>
      </c>
      <c r="C24" s="1" t="s">
        <v>22</v>
      </c>
      <c r="D24" s="1" t="s">
        <v>23</v>
      </c>
      <c r="E24" s="1" t="s">
        <v>22</v>
      </c>
      <c r="F24" s="1" t="s">
        <v>23</v>
      </c>
      <c r="G24" s="1" t="s">
        <v>24</v>
      </c>
      <c r="H24" s="1" t="s">
        <v>23</v>
      </c>
      <c r="I24" s="1" t="s">
        <v>25</v>
      </c>
      <c r="J24" s="1" t="s">
        <v>23</v>
      </c>
      <c r="K24" s="1" t="s">
        <v>26</v>
      </c>
      <c r="L24" s="1" t="s">
        <v>30</v>
      </c>
      <c r="M24" s="1" t="s">
        <v>23</v>
      </c>
      <c r="N24" s="1" t="s">
        <v>28</v>
      </c>
      <c r="O24" s="1" t="s">
        <v>25</v>
      </c>
      <c r="P24" s="1" t="s">
        <v>23</v>
      </c>
      <c r="Q24" s="1" t="s">
        <v>25</v>
      </c>
      <c r="R24" s="1" t="s">
        <v>34</v>
      </c>
      <c r="S24" s="1" t="s">
        <v>24</v>
      </c>
      <c r="T24" s="1" t="s">
        <v>142</v>
      </c>
    </row>
    <row r="25" spans="1:20" x14ac:dyDescent="0.2">
      <c r="A25" s="2">
        <v>23</v>
      </c>
      <c r="B25" s="1" t="s">
        <v>23</v>
      </c>
      <c r="C25" s="1" t="s">
        <v>22</v>
      </c>
      <c r="D25" s="1" t="s">
        <v>23</v>
      </c>
      <c r="E25" s="1" t="s">
        <v>22</v>
      </c>
      <c r="F25" s="1" t="s">
        <v>22</v>
      </c>
      <c r="G25" s="1" t="s">
        <v>24</v>
      </c>
      <c r="H25" s="1" t="s">
        <v>23</v>
      </c>
      <c r="I25" s="1" t="s">
        <v>25</v>
      </c>
      <c r="J25" s="1" t="s">
        <v>23</v>
      </c>
      <c r="K25" s="1" t="s">
        <v>26</v>
      </c>
      <c r="L25" s="1" t="s">
        <v>30</v>
      </c>
      <c r="M25" s="1" t="s">
        <v>23</v>
      </c>
      <c r="N25" s="1" t="s">
        <v>28</v>
      </c>
      <c r="O25" s="1" t="s">
        <v>25</v>
      </c>
      <c r="P25" s="1" t="s">
        <v>23</v>
      </c>
      <c r="Q25" s="1" t="s">
        <v>25</v>
      </c>
      <c r="R25" s="1" t="s">
        <v>34</v>
      </c>
      <c r="S25" s="1" t="s">
        <v>24</v>
      </c>
      <c r="T25" s="1" t="s">
        <v>142</v>
      </c>
    </row>
    <row r="26" spans="1:20" x14ac:dyDescent="0.2">
      <c r="A26" s="2">
        <v>24</v>
      </c>
      <c r="B26" s="1" t="s">
        <v>23</v>
      </c>
      <c r="C26" s="1" t="s">
        <v>22</v>
      </c>
      <c r="D26" s="1" t="s">
        <v>23</v>
      </c>
      <c r="E26" s="1" t="s">
        <v>22</v>
      </c>
      <c r="F26" s="1" t="s">
        <v>22</v>
      </c>
      <c r="G26" s="1" t="s">
        <v>24</v>
      </c>
      <c r="H26" s="1" t="s">
        <v>23</v>
      </c>
      <c r="I26" s="1" t="s">
        <v>25</v>
      </c>
      <c r="J26" s="1" t="s">
        <v>23</v>
      </c>
      <c r="K26" s="1" t="s">
        <v>26</v>
      </c>
      <c r="L26" s="1" t="s">
        <v>30</v>
      </c>
      <c r="M26" s="1" t="s">
        <v>23</v>
      </c>
      <c r="N26" s="1" t="s">
        <v>28</v>
      </c>
      <c r="O26" s="1" t="s">
        <v>25</v>
      </c>
      <c r="P26" s="1" t="s">
        <v>23</v>
      </c>
      <c r="Q26" s="1" t="s">
        <v>23</v>
      </c>
      <c r="R26" s="1" t="s">
        <v>31</v>
      </c>
      <c r="S26" s="1" t="s">
        <v>24</v>
      </c>
      <c r="T26" s="1" t="s">
        <v>142</v>
      </c>
    </row>
    <row r="27" spans="1:20" x14ac:dyDescent="0.2">
      <c r="A27" s="2">
        <v>25</v>
      </c>
      <c r="B27" s="1" t="s">
        <v>23</v>
      </c>
      <c r="C27" s="1" t="s">
        <v>22</v>
      </c>
      <c r="D27" s="1" t="s">
        <v>23</v>
      </c>
      <c r="E27" s="1" t="s">
        <v>22</v>
      </c>
      <c r="F27" s="1" t="s">
        <v>22</v>
      </c>
      <c r="G27" s="1" t="s">
        <v>24</v>
      </c>
      <c r="H27" s="1" t="s">
        <v>23</v>
      </c>
      <c r="I27" s="1" t="s">
        <v>25</v>
      </c>
      <c r="J27" s="1" t="s">
        <v>23</v>
      </c>
      <c r="K27" s="1" t="s">
        <v>26</v>
      </c>
      <c r="L27" s="1" t="s">
        <v>30</v>
      </c>
      <c r="M27" s="1" t="s">
        <v>23</v>
      </c>
      <c r="N27" s="1" t="s">
        <v>28</v>
      </c>
      <c r="O27" s="1" t="s">
        <v>25</v>
      </c>
      <c r="P27" s="1" t="s">
        <v>23</v>
      </c>
      <c r="Q27" s="1" t="s">
        <v>25</v>
      </c>
      <c r="R27" s="1" t="s">
        <v>24</v>
      </c>
      <c r="S27" s="1" t="s">
        <v>24</v>
      </c>
      <c r="T27" s="1" t="s">
        <v>142</v>
      </c>
    </row>
    <row r="28" spans="1:20" x14ac:dyDescent="0.2">
      <c r="A28" s="2">
        <v>26</v>
      </c>
      <c r="B28" s="1" t="s">
        <v>23</v>
      </c>
      <c r="C28" s="1" t="s">
        <v>22</v>
      </c>
      <c r="D28" s="1" t="s">
        <v>23</v>
      </c>
      <c r="E28" s="1" t="s">
        <v>22</v>
      </c>
      <c r="F28" s="1" t="s">
        <v>22</v>
      </c>
      <c r="G28" s="1" t="s">
        <v>31</v>
      </c>
      <c r="H28" s="1" t="s">
        <v>23</v>
      </c>
      <c r="I28" s="1" t="s">
        <v>25</v>
      </c>
      <c r="J28" s="1" t="s">
        <v>23</v>
      </c>
      <c r="K28" s="1" t="s">
        <v>26</v>
      </c>
      <c r="L28" s="1" t="s">
        <v>30</v>
      </c>
      <c r="M28" s="1" t="s">
        <v>23</v>
      </c>
      <c r="N28" s="1" t="s">
        <v>28</v>
      </c>
      <c r="O28" s="1" t="s">
        <v>25</v>
      </c>
      <c r="P28" s="1" t="s">
        <v>23</v>
      </c>
      <c r="Q28" s="1" t="s">
        <v>23</v>
      </c>
      <c r="R28" s="1" t="s">
        <v>31</v>
      </c>
      <c r="S28" s="1" t="s">
        <v>24</v>
      </c>
      <c r="T28" s="1" t="s">
        <v>142</v>
      </c>
    </row>
    <row r="29" spans="1:20" x14ac:dyDescent="0.2">
      <c r="A29" s="2">
        <v>27</v>
      </c>
      <c r="B29" s="1" t="s">
        <v>23</v>
      </c>
      <c r="C29" s="1" t="s">
        <v>22</v>
      </c>
      <c r="D29" s="1" t="s">
        <v>23</v>
      </c>
      <c r="E29" s="1" t="s">
        <v>22</v>
      </c>
      <c r="F29" s="1" t="s">
        <v>22</v>
      </c>
      <c r="G29" s="1" t="s">
        <v>24</v>
      </c>
      <c r="H29" s="1" t="s">
        <v>23</v>
      </c>
      <c r="I29" s="1" t="s">
        <v>30</v>
      </c>
      <c r="J29" s="1" t="s">
        <v>23</v>
      </c>
      <c r="K29" s="1" t="s">
        <v>26</v>
      </c>
      <c r="L29" s="1" t="s">
        <v>30</v>
      </c>
      <c r="M29" s="1" t="s">
        <v>23</v>
      </c>
      <c r="N29" s="1" t="s">
        <v>28</v>
      </c>
      <c r="O29" s="1" t="s">
        <v>25</v>
      </c>
      <c r="P29" s="1" t="s">
        <v>23</v>
      </c>
      <c r="Q29" s="1" t="s">
        <v>25</v>
      </c>
      <c r="R29" s="1" t="s">
        <v>24</v>
      </c>
      <c r="S29" s="1" t="s">
        <v>24</v>
      </c>
      <c r="T29" s="1" t="s">
        <v>142</v>
      </c>
    </row>
    <row r="30" spans="1:20" x14ac:dyDescent="0.2">
      <c r="A30" s="2">
        <v>28</v>
      </c>
      <c r="B30" s="1" t="s">
        <v>23</v>
      </c>
      <c r="C30" s="1" t="s">
        <v>22</v>
      </c>
      <c r="D30" s="1" t="s">
        <v>23</v>
      </c>
      <c r="E30" s="1" t="s">
        <v>22</v>
      </c>
      <c r="F30" s="1" t="s">
        <v>22</v>
      </c>
      <c r="G30" s="1" t="s">
        <v>24</v>
      </c>
      <c r="H30" s="1" t="s">
        <v>23</v>
      </c>
      <c r="I30" s="1" t="s">
        <v>25</v>
      </c>
      <c r="J30" s="1" t="s">
        <v>23</v>
      </c>
      <c r="K30" s="1" t="s">
        <v>26</v>
      </c>
      <c r="L30" s="1" t="s">
        <v>30</v>
      </c>
      <c r="M30" s="1" t="s">
        <v>23</v>
      </c>
      <c r="N30" s="1" t="s">
        <v>28</v>
      </c>
      <c r="O30" s="1" t="s">
        <v>25</v>
      </c>
      <c r="P30" s="1" t="s">
        <v>23</v>
      </c>
      <c r="Q30" s="1" t="s">
        <v>23</v>
      </c>
      <c r="R30" s="1" t="s">
        <v>24</v>
      </c>
      <c r="S30" s="1" t="s">
        <v>31</v>
      </c>
      <c r="T30" s="1" t="s">
        <v>142</v>
      </c>
    </row>
    <row r="31" spans="1:20" x14ac:dyDescent="0.2">
      <c r="A31" s="2">
        <v>29</v>
      </c>
      <c r="B31" s="1" t="s">
        <v>23</v>
      </c>
      <c r="C31" s="1" t="s">
        <v>22</v>
      </c>
      <c r="D31" s="1" t="s">
        <v>23</v>
      </c>
      <c r="E31" s="1" t="s">
        <v>22</v>
      </c>
      <c r="F31" s="1" t="s">
        <v>22</v>
      </c>
      <c r="G31" s="1" t="s">
        <v>31</v>
      </c>
      <c r="H31" s="1" t="s">
        <v>23</v>
      </c>
      <c r="I31" s="1" t="s">
        <v>25</v>
      </c>
      <c r="J31" s="1" t="s">
        <v>23</v>
      </c>
      <c r="K31" s="1" t="s">
        <v>26</v>
      </c>
      <c r="L31" s="1" t="s">
        <v>30</v>
      </c>
      <c r="M31" s="1" t="s">
        <v>23</v>
      </c>
      <c r="N31" s="1" t="s">
        <v>28</v>
      </c>
      <c r="O31" s="1" t="s">
        <v>25</v>
      </c>
      <c r="P31" s="1" t="s">
        <v>23</v>
      </c>
      <c r="Q31" s="1" t="s">
        <v>25</v>
      </c>
      <c r="R31" s="1" t="s">
        <v>24</v>
      </c>
      <c r="S31" s="1" t="s">
        <v>24</v>
      </c>
      <c r="T31" s="1" t="s">
        <v>142</v>
      </c>
    </row>
    <row r="32" spans="1:20" x14ac:dyDescent="0.2">
      <c r="A32" s="2">
        <v>30</v>
      </c>
      <c r="B32" s="1" t="s">
        <v>23</v>
      </c>
      <c r="C32" s="1" t="s">
        <v>22</v>
      </c>
      <c r="D32" s="1" t="s">
        <v>23</v>
      </c>
      <c r="E32" s="1" t="s">
        <v>22</v>
      </c>
      <c r="F32" s="1" t="s">
        <v>22</v>
      </c>
      <c r="G32" s="1" t="s">
        <v>24</v>
      </c>
      <c r="H32" s="1" t="s">
        <v>23</v>
      </c>
      <c r="I32" s="1" t="s">
        <v>30</v>
      </c>
      <c r="J32" s="1" t="s">
        <v>23</v>
      </c>
      <c r="K32" s="1" t="s">
        <v>26</v>
      </c>
      <c r="L32" s="1" t="s">
        <v>30</v>
      </c>
      <c r="M32" s="1" t="s">
        <v>23</v>
      </c>
      <c r="N32" s="1" t="s">
        <v>28</v>
      </c>
      <c r="O32" s="1" t="s">
        <v>25</v>
      </c>
      <c r="P32" s="1" t="s">
        <v>23</v>
      </c>
      <c r="Q32" s="1" t="s">
        <v>23</v>
      </c>
      <c r="R32" s="1" t="s">
        <v>31</v>
      </c>
      <c r="S32" s="1" t="s">
        <v>24</v>
      </c>
      <c r="T32" s="1" t="s">
        <v>142</v>
      </c>
    </row>
    <row r="33" spans="1:20" x14ac:dyDescent="0.2">
      <c r="A33" s="2">
        <v>31</v>
      </c>
      <c r="B33" s="1" t="s">
        <v>23</v>
      </c>
      <c r="C33" s="1" t="s">
        <v>22</v>
      </c>
      <c r="D33" s="1" t="s">
        <v>23</v>
      </c>
      <c r="E33" s="1" t="s">
        <v>22</v>
      </c>
      <c r="F33" s="1" t="s">
        <v>22</v>
      </c>
      <c r="G33" s="1" t="s">
        <v>24</v>
      </c>
      <c r="H33" s="1" t="s">
        <v>23</v>
      </c>
      <c r="I33" s="1" t="s">
        <v>25</v>
      </c>
      <c r="J33" s="1" t="s">
        <v>22</v>
      </c>
      <c r="K33" s="1" t="s">
        <v>26</v>
      </c>
      <c r="L33" s="1" t="s">
        <v>30</v>
      </c>
      <c r="M33" s="1" t="s">
        <v>23</v>
      </c>
      <c r="N33" s="1" t="s">
        <v>28</v>
      </c>
      <c r="O33" s="1" t="s">
        <v>22</v>
      </c>
      <c r="P33" s="1" t="s">
        <v>23</v>
      </c>
      <c r="Q33" s="1" t="s">
        <v>25</v>
      </c>
      <c r="R33" s="1" t="s">
        <v>24</v>
      </c>
      <c r="S33" s="1" t="s">
        <v>24</v>
      </c>
      <c r="T33" s="1" t="s">
        <v>142</v>
      </c>
    </row>
    <row r="34" spans="1:20" x14ac:dyDescent="0.2">
      <c r="A34" s="2">
        <v>32</v>
      </c>
      <c r="B34" s="1" t="s">
        <v>23</v>
      </c>
      <c r="C34" s="1" t="s">
        <v>25</v>
      </c>
      <c r="D34" s="1" t="s">
        <v>23</v>
      </c>
      <c r="E34" s="1" t="s">
        <v>22</v>
      </c>
      <c r="F34" s="1" t="s">
        <v>22</v>
      </c>
      <c r="G34" s="1" t="s">
        <v>24</v>
      </c>
      <c r="H34" s="1" t="s">
        <v>23</v>
      </c>
      <c r="I34" s="1" t="s">
        <v>25</v>
      </c>
      <c r="J34" s="1" t="s">
        <v>23</v>
      </c>
      <c r="K34" s="1" t="s">
        <v>26</v>
      </c>
      <c r="L34" s="1" t="s">
        <v>30</v>
      </c>
      <c r="M34" s="1" t="s">
        <v>23</v>
      </c>
      <c r="N34" s="1" t="s">
        <v>28</v>
      </c>
      <c r="O34" s="1" t="s">
        <v>25</v>
      </c>
      <c r="P34" s="1" t="s">
        <v>23</v>
      </c>
      <c r="Q34" s="1" t="s">
        <v>23</v>
      </c>
      <c r="R34" s="1" t="s">
        <v>24</v>
      </c>
      <c r="S34" s="1" t="s">
        <v>24</v>
      </c>
      <c r="T34" s="1" t="s">
        <v>142</v>
      </c>
    </row>
    <row r="35" spans="1:20" x14ac:dyDescent="0.2">
      <c r="A35" s="2">
        <v>33</v>
      </c>
      <c r="B35" s="1" t="s">
        <v>23</v>
      </c>
      <c r="C35" s="1" t="s">
        <v>25</v>
      </c>
      <c r="D35" s="1" t="s">
        <v>23</v>
      </c>
      <c r="E35" s="1" t="s">
        <v>22</v>
      </c>
      <c r="F35" s="1" t="s">
        <v>22</v>
      </c>
      <c r="G35" s="1" t="s">
        <v>24</v>
      </c>
      <c r="H35" s="1" t="s">
        <v>23</v>
      </c>
      <c r="I35" s="1" t="s">
        <v>25</v>
      </c>
      <c r="J35" s="1" t="s">
        <v>23</v>
      </c>
      <c r="K35" s="1" t="s">
        <v>26</v>
      </c>
      <c r="L35" s="1" t="s">
        <v>30</v>
      </c>
      <c r="M35" s="1" t="s">
        <v>23</v>
      </c>
      <c r="N35" s="1" t="s">
        <v>28</v>
      </c>
      <c r="O35" s="1" t="s">
        <v>25</v>
      </c>
      <c r="P35" s="1" t="s">
        <v>23</v>
      </c>
      <c r="Q35" s="1" t="s">
        <v>23</v>
      </c>
      <c r="R35" s="1" t="s">
        <v>34</v>
      </c>
      <c r="S35" s="1" t="s">
        <v>24</v>
      </c>
      <c r="T35" s="1" t="s">
        <v>142</v>
      </c>
    </row>
    <row r="36" spans="1:20" x14ac:dyDescent="0.2">
      <c r="A36" s="2">
        <v>34</v>
      </c>
      <c r="B36" s="1" t="s">
        <v>23</v>
      </c>
      <c r="C36" s="1" t="s">
        <v>22</v>
      </c>
      <c r="D36" s="1" t="s">
        <v>23</v>
      </c>
      <c r="E36" s="1" t="s">
        <v>22</v>
      </c>
      <c r="F36" s="1" t="s">
        <v>22</v>
      </c>
      <c r="G36" s="1" t="s">
        <v>34</v>
      </c>
      <c r="H36" s="1" t="s">
        <v>23</v>
      </c>
      <c r="I36" s="1" t="s">
        <v>25</v>
      </c>
      <c r="J36" s="1" t="s">
        <v>23</v>
      </c>
      <c r="K36" s="1" t="s">
        <v>26</v>
      </c>
      <c r="L36" s="1" t="s">
        <v>30</v>
      </c>
      <c r="M36" s="1" t="s">
        <v>23</v>
      </c>
      <c r="N36" s="1" t="s">
        <v>28</v>
      </c>
      <c r="O36" s="1" t="s">
        <v>25</v>
      </c>
      <c r="P36" s="1" t="s">
        <v>23</v>
      </c>
      <c r="Q36" s="1" t="s">
        <v>23</v>
      </c>
      <c r="R36" s="1" t="s">
        <v>24</v>
      </c>
      <c r="S36" s="1" t="s">
        <v>24</v>
      </c>
      <c r="T36" s="1" t="s">
        <v>142</v>
      </c>
    </row>
    <row r="37" spans="1:20" x14ac:dyDescent="0.2">
      <c r="A37" s="2">
        <v>35</v>
      </c>
      <c r="B37" s="1" t="s">
        <v>23</v>
      </c>
      <c r="C37" s="1" t="s">
        <v>22</v>
      </c>
      <c r="D37" s="1" t="s">
        <v>23</v>
      </c>
      <c r="E37" s="1" t="s">
        <v>22</v>
      </c>
      <c r="F37" s="1" t="s">
        <v>22</v>
      </c>
      <c r="G37" s="1" t="s">
        <v>31</v>
      </c>
      <c r="H37" s="1" t="s">
        <v>23</v>
      </c>
      <c r="I37" s="1" t="s">
        <v>25</v>
      </c>
      <c r="J37" s="1" t="s">
        <v>23</v>
      </c>
      <c r="K37" s="1" t="s">
        <v>26</v>
      </c>
      <c r="L37" s="1" t="s">
        <v>30</v>
      </c>
      <c r="M37" s="1" t="s">
        <v>23</v>
      </c>
      <c r="N37" s="1" t="s">
        <v>28</v>
      </c>
      <c r="O37" s="1" t="s">
        <v>25</v>
      </c>
      <c r="P37" s="1" t="s">
        <v>23</v>
      </c>
      <c r="Q37" s="1" t="s">
        <v>23</v>
      </c>
      <c r="R37" s="1" t="s">
        <v>34</v>
      </c>
      <c r="S37" s="1" t="s">
        <v>24</v>
      </c>
      <c r="T37" s="1" t="s">
        <v>142</v>
      </c>
    </row>
    <row r="38" spans="1:20" x14ac:dyDescent="0.2">
      <c r="A38" s="2">
        <v>36</v>
      </c>
      <c r="B38" s="1" t="s">
        <v>23</v>
      </c>
      <c r="C38" s="1" t="s">
        <v>22</v>
      </c>
      <c r="D38" s="1" t="s">
        <v>23</v>
      </c>
      <c r="E38" s="1" t="s">
        <v>22</v>
      </c>
      <c r="F38" s="1" t="s">
        <v>22</v>
      </c>
      <c r="G38" s="1" t="s">
        <v>31</v>
      </c>
      <c r="H38" s="1" t="s">
        <v>23</v>
      </c>
      <c r="I38" s="1" t="s">
        <v>25</v>
      </c>
      <c r="J38" s="1" t="s">
        <v>23</v>
      </c>
      <c r="K38" s="1" t="s">
        <v>26</v>
      </c>
      <c r="L38" s="1" t="s">
        <v>30</v>
      </c>
      <c r="M38" s="1" t="s">
        <v>23</v>
      </c>
      <c r="N38" s="1" t="s">
        <v>28</v>
      </c>
      <c r="O38" s="1" t="s">
        <v>25</v>
      </c>
      <c r="P38" s="1" t="s">
        <v>23</v>
      </c>
      <c r="Q38" s="1" t="s">
        <v>23</v>
      </c>
      <c r="R38" s="1" t="s">
        <v>24</v>
      </c>
      <c r="S38" s="1" t="s">
        <v>24</v>
      </c>
      <c r="T38" s="1" t="s">
        <v>142</v>
      </c>
    </row>
    <row r="39" spans="1:20" x14ac:dyDescent="0.2">
      <c r="A39" s="2">
        <v>37</v>
      </c>
      <c r="B39" s="1" t="s">
        <v>23</v>
      </c>
      <c r="C39" s="1" t="s">
        <v>22</v>
      </c>
      <c r="D39" s="1" t="s">
        <v>23</v>
      </c>
      <c r="E39" s="1" t="s">
        <v>22</v>
      </c>
      <c r="F39" s="1" t="s">
        <v>22</v>
      </c>
      <c r="G39" s="1" t="s">
        <v>24</v>
      </c>
      <c r="H39" s="1" t="s">
        <v>23</v>
      </c>
      <c r="I39" s="1" t="s">
        <v>25</v>
      </c>
      <c r="J39" s="1" t="s">
        <v>23</v>
      </c>
      <c r="K39" s="1" t="s">
        <v>26</v>
      </c>
      <c r="L39" s="1" t="s">
        <v>30</v>
      </c>
      <c r="M39" s="1" t="s">
        <v>23</v>
      </c>
      <c r="N39" s="1" t="s">
        <v>28</v>
      </c>
      <c r="O39" s="1" t="s">
        <v>25</v>
      </c>
      <c r="P39" s="1" t="s">
        <v>23</v>
      </c>
      <c r="Q39" s="1" t="s">
        <v>23</v>
      </c>
      <c r="R39" s="1" t="s">
        <v>34</v>
      </c>
      <c r="S39" s="1" t="s">
        <v>24</v>
      </c>
      <c r="T39" s="1" t="s">
        <v>142</v>
      </c>
    </row>
    <row r="40" spans="1:20" x14ac:dyDescent="0.2">
      <c r="A40" s="2">
        <v>38</v>
      </c>
      <c r="B40" s="1" t="s">
        <v>23</v>
      </c>
      <c r="C40" s="1" t="s">
        <v>22</v>
      </c>
      <c r="D40" s="1" t="s">
        <v>23</v>
      </c>
      <c r="E40" s="1" t="s">
        <v>22</v>
      </c>
      <c r="F40" s="1" t="s">
        <v>22</v>
      </c>
      <c r="G40" s="1" t="s">
        <v>24</v>
      </c>
      <c r="H40" s="1" t="s">
        <v>23</v>
      </c>
      <c r="I40" s="1" t="s">
        <v>25</v>
      </c>
      <c r="J40" s="1" t="s">
        <v>23</v>
      </c>
      <c r="K40" s="1" t="s">
        <v>26</v>
      </c>
      <c r="L40" s="1" t="s">
        <v>30</v>
      </c>
      <c r="M40" s="1" t="s">
        <v>23</v>
      </c>
      <c r="N40" s="1" t="s">
        <v>28</v>
      </c>
      <c r="O40" s="1" t="s">
        <v>25</v>
      </c>
      <c r="P40" s="1" t="s">
        <v>23</v>
      </c>
      <c r="Q40" s="1" t="s">
        <v>23</v>
      </c>
      <c r="R40" s="1" t="s">
        <v>24</v>
      </c>
      <c r="S40" s="1" t="s">
        <v>34</v>
      </c>
      <c r="T40" s="1" t="s">
        <v>142</v>
      </c>
    </row>
    <row r="41" spans="1:20" x14ac:dyDescent="0.2">
      <c r="A41" s="2">
        <v>39</v>
      </c>
      <c r="B41" s="1" t="s">
        <v>23</v>
      </c>
      <c r="C41" s="1" t="s">
        <v>22</v>
      </c>
      <c r="D41" s="1" t="s">
        <v>23</v>
      </c>
      <c r="E41" s="1" t="s">
        <v>22</v>
      </c>
      <c r="F41" s="1" t="s">
        <v>22</v>
      </c>
      <c r="G41" s="1" t="s">
        <v>34</v>
      </c>
      <c r="H41" s="1" t="s">
        <v>23</v>
      </c>
      <c r="I41" s="1" t="s">
        <v>25</v>
      </c>
      <c r="J41" s="1" t="s">
        <v>23</v>
      </c>
      <c r="K41" s="1" t="s">
        <v>26</v>
      </c>
      <c r="L41" s="1" t="s">
        <v>30</v>
      </c>
      <c r="M41" s="1" t="s">
        <v>23</v>
      </c>
      <c r="N41" s="1" t="s">
        <v>28</v>
      </c>
      <c r="O41" s="1" t="s">
        <v>25</v>
      </c>
      <c r="P41" s="1" t="s">
        <v>23</v>
      </c>
      <c r="Q41" s="1" t="s">
        <v>23</v>
      </c>
      <c r="R41" s="1" t="s">
        <v>24</v>
      </c>
      <c r="S41" s="1" t="s">
        <v>34</v>
      </c>
      <c r="T41" s="1" t="s">
        <v>142</v>
      </c>
    </row>
    <row r="42" spans="1:20" x14ac:dyDescent="0.2">
      <c r="A42" s="2">
        <v>40</v>
      </c>
      <c r="B42" s="1" t="s">
        <v>23</v>
      </c>
      <c r="C42" s="1" t="s">
        <v>22</v>
      </c>
      <c r="D42" s="1" t="s">
        <v>23</v>
      </c>
      <c r="E42" s="1" t="s">
        <v>22</v>
      </c>
      <c r="F42" s="1" t="s">
        <v>22</v>
      </c>
      <c r="G42" s="1" t="s">
        <v>31</v>
      </c>
      <c r="H42" s="1" t="s">
        <v>23</v>
      </c>
      <c r="I42" s="1" t="s">
        <v>25</v>
      </c>
      <c r="J42" s="1" t="s">
        <v>23</v>
      </c>
      <c r="K42" s="1" t="s">
        <v>26</v>
      </c>
      <c r="L42" s="1" t="s">
        <v>30</v>
      </c>
      <c r="M42" s="1" t="s">
        <v>23</v>
      </c>
      <c r="N42" s="1" t="s">
        <v>28</v>
      </c>
      <c r="O42" s="1" t="s">
        <v>25</v>
      </c>
      <c r="P42" s="1" t="s">
        <v>23</v>
      </c>
      <c r="Q42" s="1" t="s">
        <v>23</v>
      </c>
      <c r="R42" s="1" t="s">
        <v>24</v>
      </c>
      <c r="S42" s="1" t="s">
        <v>24</v>
      </c>
      <c r="T42" s="1" t="s">
        <v>142</v>
      </c>
    </row>
    <row r="43" spans="1:20" x14ac:dyDescent="0.2">
      <c r="A43" s="2">
        <v>41</v>
      </c>
      <c r="B43" s="1" t="s">
        <v>23</v>
      </c>
      <c r="C43" s="1" t="s">
        <v>22</v>
      </c>
      <c r="D43" s="1" t="s">
        <v>23</v>
      </c>
      <c r="E43" s="1" t="s">
        <v>22</v>
      </c>
      <c r="F43" s="1" t="s">
        <v>22</v>
      </c>
      <c r="G43" s="1" t="s">
        <v>34</v>
      </c>
      <c r="H43" s="1" t="s">
        <v>23</v>
      </c>
      <c r="I43" s="1" t="s">
        <v>25</v>
      </c>
      <c r="J43" s="1" t="s">
        <v>23</v>
      </c>
      <c r="K43" s="1" t="s">
        <v>26</v>
      </c>
      <c r="L43" s="1" t="s">
        <v>30</v>
      </c>
      <c r="M43" s="1" t="s">
        <v>23</v>
      </c>
      <c r="N43" s="1" t="s">
        <v>28</v>
      </c>
      <c r="O43" s="1" t="s">
        <v>25</v>
      </c>
      <c r="P43" s="1" t="s">
        <v>23</v>
      </c>
      <c r="Q43" s="1" t="s">
        <v>25</v>
      </c>
      <c r="R43" s="1" t="s">
        <v>24</v>
      </c>
      <c r="S43" s="1" t="s">
        <v>24</v>
      </c>
      <c r="T43" s="1" t="s">
        <v>142</v>
      </c>
    </row>
    <row r="44" spans="1:20" x14ac:dyDescent="0.2">
      <c r="A44" s="2">
        <v>42</v>
      </c>
      <c r="B44" s="1" t="s">
        <v>23</v>
      </c>
      <c r="C44" s="1" t="s">
        <v>22</v>
      </c>
      <c r="D44" s="1" t="s">
        <v>23</v>
      </c>
      <c r="E44" s="1" t="s">
        <v>22</v>
      </c>
      <c r="F44" s="1" t="s">
        <v>22</v>
      </c>
      <c r="G44" s="1" t="s">
        <v>24</v>
      </c>
      <c r="H44" s="1" t="s">
        <v>23</v>
      </c>
      <c r="I44" s="1" t="s">
        <v>25</v>
      </c>
      <c r="J44" s="1" t="s">
        <v>23</v>
      </c>
      <c r="K44" s="1" t="s">
        <v>26</v>
      </c>
      <c r="L44" s="1" t="s">
        <v>30</v>
      </c>
      <c r="M44" s="1" t="s">
        <v>23</v>
      </c>
      <c r="N44" s="1" t="s">
        <v>28</v>
      </c>
      <c r="O44" s="1" t="s">
        <v>25</v>
      </c>
      <c r="P44" s="1" t="s">
        <v>23</v>
      </c>
      <c r="Q44" s="1" t="s">
        <v>23</v>
      </c>
      <c r="R44" s="1" t="s">
        <v>34</v>
      </c>
      <c r="S44" s="1" t="s">
        <v>31</v>
      </c>
      <c r="T44" s="1" t="s">
        <v>142</v>
      </c>
    </row>
    <row r="45" spans="1:20" x14ac:dyDescent="0.2">
      <c r="A45" s="2">
        <v>43</v>
      </c>
      <c r="B45" s="1" t="s">
        <v>23</v>
      </c>
      <c r="C45" s="1" t="s">
        <v>22</v>
      </c>
      <c r="D45" s="1" t="s">
        <v>23</v>
      </c>
      <c r="E45" s="1" t="s">
        <v>22</v>
      </c>
      <c r="F45" s="1" t="s">
        <v>22</v>
      </c>
      <c r="G45" s="1" t="s">
        <v>24</v>
      </c>
      <c r="H45" s="1" t="s">
        <v>23</v>
      </c>
      <c r="I45" s="1" t="s">
        <v>25</v>
      </c>
      <c r="J45" s="1" t="s">
        <v>23</v>
      </c>
      <c r="K45" s="1" t="s">
        <v>26</v>
      </c>
      <c r="L45" s="1" t="s">
        <v>30</v>
      </c>
      <c r="M45" s="1" t="s">
        <v>23</v>
      </c>
      <c r="N45" s="1" t="s">
        <v>28</v>
      </c>
      <c r="O45" s="1" t="s">
        <v>25</v>
      </c>
      <c r="P45" s="1" t="s">
        <v>23</v>
      </c>
      <c r="Q45" s="1" t="s">
        <v>25</v>
      </c>
      <c r="R45" s="1" t="s">
        <v>31</v>
      </c>
      <c r="S45" s="1" t="s">
        <v>24</v>
      </c>
      <c r="T45" s="1" t="s">
        <v>142</v>
      </c>
    </row>
    <row r="46" spans="1:20" x14ac:dyDescent="0.2">
      <c r="A46" s="2">
        <v>44</v>
      </c>
      <c r="B46" s="1" t="s">
        <v>23</v>
      </c>
      <c r="C46" s="1" t="s">
        <v>22</v>
      </c>
      <c r="D46" s="1" t="s">
        <v>23</v>
      </c>
      <c r="E46" s="1" t="s">
        <v>22</v>
      </c>
      <c r="F46" s="1" t="s">
        <v>22</v>
      </c>
      <c r="G46" s="1" t="s">
        <v>34</v>
      </c>
      <c r="H46" s="1" t="s">
        <v>23</v>
      </c>
      <c r="I46" s="1" t="s">
        <v>25</v>
      </c>
      <c r="J46" s="1" t="s">
        <v>23</v>
      </c>
      <c r="K46" s="1" t="s">
        <v>26</v>
      </c>
      <c r="L46" s="1" t="s">
        <v>30</v>
      </c>
      <c r="M46" s="1" t="s">
        <v>23</v>
      </c>
      <c r="N46" s="1" t="s">
        <v>28</v>
      </c>
      <c r="O46" s="1" t="s">
        <v>25</v>
      </c>
      <c r="P46" s="1" t="s">
        <v>23</v>
      </c>
      <c r="Q46" s="1" t="s">
        <v>23</v>
      </c>
      <c r="R46" s="1" t="s">
        <v>31</v>
      </c>
      <c r="S46" s="1" t="s">
        <v>24</v>
      </c>
      <c r="T46" s="1" t="s">
        <v>142</v>
      </c>
    </row>
    <row r="47" spans="1:20" x14ac:dyDescent="0.2">
      <c r="A47" s="78" t="s">
        <v>35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</row>
  </sheetData>
  <mergeCells count="2">
    <mergeCell ref="A47:T47"/>
    <mergeCell ref="A1:T1"/>
  </mergeCells>
  <phoneticPr fontId="5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FF79-9472-4141-ACA7-B8B5F1433203}">
  <dimension ref="A1:X47"/>
  <sheetViews>
    <sheetView zoomScale="130" zoomScaleNormal="130" workbookViewId="0">
      <selection activeCell="G16" sqref="G16:H16"/>
    </sheetView>
  </sheetViews>
  <sheetFormatPr defaultRowHeight="14.25" x14ac:dyDescent="0.2"/>
  <cols>
    <col min="1" max="1" width="6.375" customWidth="1"/>
    <col min="2" max="2" width="6.25" customWidth="1"/>
    <col min="3" max="3" width="4.875" customWidth="1"/>
    <col min="4" max="4" width="5.25" customWidth="1"/>
    <col min="5" max="5" width="5.375" customWidth="1"/>
    <col min="6" max="6" width="4.875" customWidth="1"/>
    <col min="7" max="7" width="5.625" customWidth="1"/>
    <col min="8" max="8" width="5.875" customWidth="1"/>
    <col min="9" max="9" width="5.125" customWidth="1"/>
    <col min="10" max="10" width="4.75" customWidth="1"/>
    <col min="11" max="11" width="4.875" customWidth="1"/>
    <col min="12" max="12" width="5.375" customWidth="1"/>
    <col min="13" max="13" width="5.5" customWidth="1"/>
    <col min="14" max="14" width="5.375" customWidth="1"/>
    <col min="15" max="15" width="4.625" customWidth="1"/>
    <col min="16" max="16" width="4.75" customWidth="1"/>
    <col min="17" max="17" width="5.125" customWidth="1"/>
    <col min="18" max="18" width="6.375" customWidth="1"/>
    <col min="19" max="19" width="5" customWidth="1"/>
  </cols>
  <sheetData>
    <row r="1" spans="1:24" ht="15" x14ac:dyDescent="0.2">
      <c r="A1" s="77" t="s">
        <v>55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4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4" x14ac:dyDescent="0.2">
      <c r="A3" s="2">
        <v>1</v>
      </c>
      <c r="B3" s="1" t="s">
        <v>40</v>
      </c>
      <c r="C3" s="1" t="s">
        <v>42</v>
      </c>
      <c r="D3" s="1" t="s">
        <v>41</v>
      </c>
      <c r="E3" s="1" t="s">
        <v>42</v>
      </c>
      <c r="F3" s="1" t="s">
        <v>42</v>
      </c>
      <c r="G3" s="1" t="s">
        <v>44</v>
      </c>
      <c r="H3" s="1" t="s">
        <v>41</v>
      </c>
      <c r="I3" s="1" t="s">
        <v>47</v>
      </c>
      <c r="J3" s="1" t="s">
        <v>41</v>
      </c>
      <c r="K3" s="1" t="s">
        <v>43</v>
      </c>
      <c r="L3" s="1" t="s">
        <v>51</v>
      </c>
      <c r="M3" s="1" t="s">
        <v>41</v>
      </c>
      <c r="N3" s="1" t="s">
        <v>50</v>
      </c>
      <c r="O3" s="1" t="s">
        <v>47</v>
      </c>
      <c r="P3" s="1" t="s">
        <v>41</v>
      </c>
      <c r="Q3" s="1" t="s">
        <v>41</v>
      </c>
      <c r="R3" s="1" t="s">
        <v>44</v>
      </c>
      <c r="S3" s="1" t="s">
        <v>44</v>
      </c>
      <c r="T3" s="1" t="s">
        <v>52</v>
      </c>
    </row>
    <row r="4" spans="1:24" ht="15" thickBot="1" x14ac:dyDescent="0.25">
      <c r="A4" s="2">
        <v>2</v>
      </c>
      <c r="B4" s="1" t="s">
        <v>40</v>
      </c>
      <c r="C4" s="1" t="s">
        <v>42</v>
      </c>
      <c r="D4" s="1" t="s">
        <v>41</v>
      </c>
      <c r="E4" s="1" t="s">
        <v>42</v>
      </c>
      <c r="F4" s="1" t="s">
        <v>42</v>
      </c>
      <c r="G4" s="1" t="s">
        <v>44</v>
      </c>
      <c r="H4" s="1" t="s">
        <v>41</v>
      </c>
      <c r="I4" s="1" t="s">
        <v>47</v>
      </c>
      <c r="J4" s="1" t="s">
        <v>41</v>
      </c>
      <c r="K4" s="1" t="s">
        <v>43</v>
      </c>
      <c r="L4" s="1" t="s">
        <v>51</v>
      </c>
      <c r="M4" s="1" t="s">
        <v>41</v>
      </c>
      <c r="N4" s="1" t="s">
        <v>50</v>
      </c>
      <c r="O4" s="1" t="s">
        <v>47</v>
      </c>
      <c r="P4" s="1" t="s">
        <v>41</v>
      </c>
      <c r="Q4" s="1" t="s">
        <v>37</v>
      </c>
      <c r="R4" s="1" t="s">
        <v>44</v>
      </c>
      <c r="S4" s="1" t="s">
        <v>44</v>
      </c>
      <c r="T4" s="1" t="s">
        <v>52</v>
      </c>
    </row>
    <row r="5" spans="1:24" ht="15" thickBot="1" x14ac:dyDescent="0.25">
      <c r="A5" s="2">
        <v>3</v>
      </c>
      <c r="B5" s="1" t="s">
        <v>40</v>
      </c>
      <c r="C5" s="1" t="s">
        <v>42</v>
      </c>
      <c r="D5" s="1" t="s">
        <v>41</v>
      </c>
      <c r="E5" s="1" t="s">
        <v>42</v>
      </c>
      <c r="F5" s="1" t="s">
        <v>42</v>
      </c>
      <c r="G5" s="1" t="s">
        <v>44</v>
      </c>
      <c r="H5" s="1" t="s">
        <v>41</v>
      </c>
      <c r="I5" s="1" t="s">
        <v>48</v>
      </c>
      <c r="J5" s="1" t="s">
        <v>41</v>
      </c>
      <c r="K5" s="1" t="s">
        <v>43</v>
      </c>
      <c r="L5" s="1" t="s">
        <v>49</v>
      </c>
      <c r="M5" s="1" t="s">
        <v>41</v>
      </c>
      <c r="N5" s="1" t="s">
        <v>50</v>
      </c>
      <c r="O5" s="1" t="s">
        <v>48</v>
      </c>
      <c r="P5" s="1" t="s">
        <v>41</v>
      </c>
      <c r="Q5" s="1" t="s">
        <v>41</v>
      </c>
      <c r="R5" s="1" t="s">
        <v>44</v>
      </c>
      <c r="S5" s="1" t="s">
        <v>44</v>
      </c>
      <c r="T5" s="1" t="s">
        <v>52</v>
      </c>
      <c r="V5" s="1" t="s">
        <v>21</v>
      </c>
      <c r="W5" s="18" t="s">
        <v>2</v>
      </c>
      <c r="X5">
        <v>44</v>
      </c>
    </row>
    <row r="6" spans="1:24" ht="15" thickBot="1" x14ac:dyDescent="0.25">
      <c r="A6" s="2">
        <v>4</v>
      </c>
      <c r="B6" s="1" t="s">
        <v>40</v>
      </c>
      <c r="C6" s="1" t="s">
        <v>42</v>
      </c>
      <c r="D6" s="1" t="s">
        <v>41</v>
      </c>
      <c r="E6" s="1" t="s">
        <v>43</v>
      </c>
      <c r="F6" s="1" t="s">
        <v>42</v>
      </c>
      <c r="G6" s="1" t="s">
        <v>44</v>
      </c>
      <c r="H6" s="1" t="s">
        <v>41</v>
      </c>
      <c r="I6" s="1" t="s">
        <v>48</v>
      </c>
      <c r="J6" s="1" t="s">
        <v>41</v>
      </c>
      <c r="K6" s="1" t="s">
        <v>43</v>
      </c>
      <c r="L6" s="1" t="s">
        <v>49</v>
      </c>
      <c r="M6" s="1" t="s">
        <v>41</v>
      </c>
      <c r="N6" s="1" t="s">
        <v>50</v>
      </c>
      <c r="O6" s="1" t="s">
        <v>48</v>
      </c>
      <c r="P6" s="1" t="s">
        <v>41</v>
      </c>
      <c r="Q6" s="1" t="s">
        <v>41</v>
      </c>
      <c r="R6" s="1" t="s">
        <v>44</v>
      </c>
      <c r="S6" s="1" t="s">
        <v>44</v>
      </c>
      <c r="T6" s="1" t="s">
        <v>52</v>
      </c>
      <c r="V6" s="1" t="s">
        <v>22</v>
      </c>
      <c r="W6" s="18" t="s">
        <v>3</v>
      </c>
    </row>
    <row r="7" spans="1:24" ht="15" thickBot="1" x14ac:dyDescent="0.25">
      <c r="A7" s="2">
        <v>5</v>
      </c>
      <c r="B7" s="1" t="s">
        <v>40</v>
      </c>
      <c r="C7" s="1" t="s">
        <v>42</v>
      </c>
      <c r="D7" s="1" t="s">
        <v>41</v>
      </c>
      <c r="E7" s="1" t="s">
        <v>42</v>
      </c>
      <c r="F7" s="1" t="s">
        <v>42</v>
      </c>
      <c r="G7" s="1" t="s">
        <v>44</v>
      </c>
      <c r="H7" s="1" t="s">
        <v>41</v>
      </c>
      <c r="I7" s="1" t="s">
        <v>49</v>
      </c>
      <c r="J7" s="1" t="s">
        <v>41</v>
      </c>
      <c r="K7" s="1" t="s">
        <v>43</v>
      </c>
      <c r="L7" s="1" t="s">
        <v>49</v>
      </c>
      <c r="M7" s="1" t="s">
        <v>41</v>
      </c>
      <c r="N7" s="1" t="s">
        <v>50</v>
      </c>
      <c r="O7" s="1" t="s">
        <v>48</v>
      </c>
      <c r="P7" s="1" t="s">
        <v>41</v>
      </c>
      <c r="Q7" s="1" t="s">
        <v>41</v>
      </c>
      <c r="R7" s="1" t="s">
        <v>44</v>
      </c>
      <c r="S7" s="1" t="s">
        <v>44</v>
      </c>
      <c r="T7" s="1" t="s">
        <v>52</v>
      </c>
      <c r="V7" s="9" t="s">
        <v>25</v>
      </c>
      <c r="W7" s="18" t="s">
        <v>3</v>
      </c>
    </row>
    <row r="8" spans="1:24" ht="15" thickBot="1" x14ac:dyDescent="0.25">
      <c r="A8" s="2">
        <v>6</v>
      </c>
      <c r="B8" s="1" t="s">
        <v>40</v>
      </c>
      <c r="C8" s="1" t="s">
        <v>42</v>
      </c>
      <c r="D8" s="1" t="s">
        <v>41</v>
      </c>
      <c r="E8" s="1" t="s">
        <v>43</v>
      </c>
      <c r="F8" s="1" t="s">
        <v>42</v>
      </c>
      <c r="G8" s="1" t="s">
        <v>44</v>
      </c>
      <c r="H8" s="1" t="s">
        <v>41</v>
      </c>
      <c r="I8" s="1" t="s">
        <v>48</v>
      </c>
      <c r="J8" s="1" t="s">
        <v>41</v>
      </c>
      <c r="K8" s="1" t="s">
        <v>43</v>
      </c>
      <c r="L8" s="1" t="s">
        <v>49</v>
      </c>
      <c r="M8" s="1" t="s">
        <v>41</v>
      </c>
      <c r="N8" s="1" t="s">
        <v>50</v>
      </c>
      <c r="O8" s="1" t="s">
        <v>48</v>
      </c>
      <c r="P8" s="1" t="s">
        <v>41</v>
      </c>
      <c r="Q8" s="1" t="s">
        <v>48</v>
      </c>
      <c r="R8" s="1" t="s">
        <v>44</v>
      </c>
      <c r="S8" s="1" t="s">
        <v>44</v>
      </c>
      <c r="T8" s="1" t="s">
        <v>52</v>
      </c>
      <c r="V8" s="1" t="s">
        <v>23</v>
      </c>
      <c r="W8" s="18" t="s">
        <v>4</v>
      </c>
    </row>
    <row r="9" spans="1:24" ht="15" thickBot="1" x14ac:dyDescent="0.25">
      <c r="A9" s="2">
        <v>7</v>
      </c>
      <c r="B9" s="1" t="s">
        <v>40</v>
      </c>
      <c r="C9" s="1" t="s">
        <v>42</v>
      </c>
      <c r="D9" s="1" t="s">
        <v>41</v>
      </c>
      <c r="E9" s="1" t="s">
        <v>43</v>
      </c>
      <c r="F9" s="1" t="s">
        <v>42</v>
      </c>
      <c r="G9" s="1" t="s">
        <v>44</v>
      </c>
      <c r="H9" s="1" t="s">
        <v>41</v>
      </c>
      <c r="I9" s="1" t="s">
        <v>48</v>
      </c>
      <c r="J9" s="1" t="s">
        <v>41</v>
      </c>
      <c r="K9" s="1" t="s">
        <v>43</v>
      </c>
      <c r="L9" s="1" t="s">
        <v>49</v>
      </c>
      <c r="M9" s="1" t="s">
        <v>41</v>
      </c>
      <c r="N9" s="1" t="s">
        <v>50</v>
      </c>
      <c r="O9" s="1" t="s">
        <v>48</v>
      </c>
      <c r="P9" s="1" t="s">
        <v>41</v>
      </c>
      <c r="Q9" s="1" t="s">
        <v>41</v>
      </c>
      <c r="R9" s="1" t="s">
        <v>45</v>
      </c>
      <c r="S9" s="1" t="s">
        <v>44</v>
      </c>
      <c r="T9" s="1" t="s">
        <v>52</v>
      </c>
      <c r="V9" s="1" t="s">
        <v>22</v>
      </c>
      <c r="W9" s="18" t="s">
        <v>5</v>
      </c>
    </row>
    <row r="10" spans="1:24" ht="15" thickBot="1" x14ac:dyDescent="0.25">
      <c r="A10" s="2">
        <v>8</v>
      </c>
      <c r="B10" s="1" t="s">
        <v>40</v>
      </c>
      <c r="C10" s="1" t="s">
        <v>42</v>
      </c>
      <c r="D10" s="1" t="s">
        <v>41</v>
      </c>
      <c r="E10" s="1" t="s">
        <v>43</v>
      </c>
      <c r="F10" s="1" t="s">
        <v>42</v>
      </c>
      <c r="G10" s="1" t="s">
        <v>44</v>
      </c>
      <c r="H10" s="1" t="s">
        <v>41</v>
      </c>
      <c r="I10" s="1" t="s">
        <v>48</v>
      </c>
      <c r="J10" s="1" t="s">
        <v>41</v>
      </c>
      <c r="K10" s="1" t="s">
        <v>43</v>
      </c>
      <c r="L10" s="1" t="s">
        <v>49</v>
      </c>
      <c r="M10" s="1" t="s">
        <v>41</v>
      </c>
      <c r="N10" s="1" t="s">
        <v>50</v>
      </c>
      <c r="O10" s="1" t="s">
        <v>48</v>
      </c>
      <c r="P10" s="1" t="s">
        <v>41</v>
      </c>
      <c r="Q10" s="1" t="s">
        <v>41</v>
      </c>
      <c r="R10" s="1" t="s">
        <v>44</v>
      </c>
      <c r="S10" s="1" t="s">
        <v>44</v>
      </c>
      <c r="T10" s="1" t="s">
        <v>53</v>
      </c>
      <c r="V10" s="9" t="s">
        <v>26</v>
      </c>
      <c r="W10" s="18" t="s">
        <v>5</v>
      </c>
    </row>
    <row r="11" spans="1:24" ht="15" thickBot="1" x14ac:dyDescent="0.25">
      <c r="A11" s="2">
        <v>9</v>
      </c>
      <c r="B11" s="1" t="s">
        <v>40</v>
      </c>
      <c r="C11" s="1" t="s">
        <v>42</v>
      </c>
      <c r="D11" s="1" t="s">
        <v>41</v>
      </c>
      <c r="E11" s="1" t="s">
        <v>42</v>
      </c>
      <c r="F11" s="1" t="s">
        <v>42</v>
      </c>
      <c r="G11" s="1" t="s">
        <v>44</v>
      </c>
      <c r="H11" s="1" t="s">
        <v>41</v>
      </c>
      <c r="I11" s="1" t="s">
        <v>48</v>
      </c>
      <c r="J11" s="1" t="s">
        <v>41</v>
      </c>
      <c r="K11" s="1" t="s">
        <v>43</v>
      </c>
      <c r="L11" s="1" t="s">
        <v>49</v>
      </c>
      <c r="M11" s="1" t="s">
        <v>41</v>
      </c>
      <c r="N11" s="1" t="s">
        <v>50</v>
      </c>
      <c r="O11" s="1" t="s">
        <v>48</v>
      </c>
      <c r="P11" s="1" t="s">
        <v>41</v>
      </c>
      <c r="Q11" s="1" t="s">
        <v>48</v>
      </c>
      <c r="R11" s="1" t="s">
        <v>44</v>
      </c>
      <c r="S11" s="1" t="s">
        <v>44</v>
      </c>
      <c r="T11" s="1" t="s">
        <v>52</v>
      </c>
      <c r="V11" s="1" t="s">
        <v>22</v>
      </c>
      <c r="W11" s="18" t="s">
        <v>6</v>
      </c>
    </row>
    <row r="12" spans="1:24" ht="15" thickBot="1" x14ac:dyDescent="0.25">
      <c r="A12" s="2">
        <v>10</v>
      </c>
      <c r="B12" s="1" t="s">
        <v>40</v>
      </c>
      <c r="C12" s="1" t="s">
        <v>42</v>
      </c>
      <c r="D12" s="1" t="s">
        <v>41</v>
      </c>
      <c r="E12" s="1" t="s">
        <v>42</v>
      </c>
      <c r="F12" s="1" t="s">
        <v>42</v>
      </c>
      <c r="G12" s="1" t="s">
        <v>44</v>
      </c>
      <c r="H12" s="1" t="s">
        <v>41</v>
      </c>
      <c r="I12" s="1" t="s">
        <v>48</v>
      </c>
      <c r="J12" s="1" t="s">
        <v>41</v>
      </c>
      <c r="K12" s="1" t="s">
        <v>43</v>
      </c>
      <c r="L12" s="1" t="s">
        <v>49</v>
      </c>
      <c r="M12" s="1" t="s">
        <v>41</v>
      </c>
      <c r="N12" s="1" t="s">
        <v>50</v>
      </c>
      <c r="O12" s="1" t="s">
        <v>48</v>
      </c>
      <c r="P12" s="1" t="s">
        <v>41</v>
      </c>
      <c r="Q12" s="1" t="s">
        <v>41</v>
      </c>
      <c r="R12" s="1" t="s">
        <v>45</v>
      </c>
      <c r="S12" s="1" t="s">
        <v>44</v>
      </c>
      <c r="T12" s="1" t="s">
        <v>52</v>
      </c>
      <c r="V12" s="25" t="s">
        <v>23</v>
      </c>
      <c r="W12" s="18" t="s">
        <v>6</v>
      </c>
    </row>
    <row r="13" spans="1:24" ht="15" thickBot="1" x14ac:dyDescent="0.25">
      <c r="A13" s="2">
        <v>11</v>
      </c>
      <c r="B13" s="1" t="s">
        <v>40</v>
      </c>
      <c r="C13" s="1" t="s">
        <v>42</v>
      </c>
      <c r="D13" s="1" t="s">
        <v>41</v>
      </c>
      <c r="E13" s="1" t="s">
        <v>42</v>
      </c>
      <c r="F13" s="1" t="s">
        <v>42</v>
      </c>
      <c r="G13" s="1" t="s">
        <v>44</v>
      </c>
      <c r="H13" s="1" t="s">
        <v>41</v>
      </c>
      <c r="I13" s="1" t="s">
        <v>48</v>
      </c>
      <c r="J13" s="1" t="s">
        <v>41</v>
      </c>
      <c r="K13" s="1" t="s">
        <v>43</v>
      </c>
      <c r="L13" s="1" t="s">
        <v>49</v>
      </c>
      <c r="M13" s="1" t="s">
        <v>41</v>
      </c>
      <c r="N13" s="1" t="s">
        <v>50</v>
      </c>
      <c r="O13" s="1" t="s">
        <v>48</v>
      </c>
      <c r="P13" s="1" t="s">
        <v>41</v>
      </c>
      <c r="Q13" s="1" t="s">
        <v>48</v>
      </c>
      <c r="R13" s="1" t="s">
        <v>44</v>
      </c>
      <c r="S13" s="1" t="s">
        <v>44</v>
      </c>
      <c r="T13" s="1" t="s">
        <v>54</v>
      </c>
      <c r="V13" s="1" t="s">
        <v>24</v>
      </c>
      <c r="W13" s="18" t="s">
        <v>7</v>
      </c>
    </row>
    <row r="14" spans="1:24" ht="15" thickBot="1" x14ac:dyDescent="0.25">
      <c r="A14" s="2">
        <v>12</v>
      </c>
      <c r="B14" s="1" t="s">
        <v>40</v>
      </c>
      <c r="C14" s="1" t="s">
        <v>42</v>
      </c>
      <c r="D14" s="1" t="s">
        <v>41</v>
      </c>
      <c r="E14" s="1" t="s">
        <v>42</v>
      </c>
      <c r="F14" s="1" t="s">
        <v>42</v>
      </c>
      <c r="G14" s="1" t="s">
        <v>44</v>
      </c>
      <c r="H14" s="1" t="s">
        <v>41</v>
      </c>
      <c r="I14" s="1" t="s">
        <v>49</v>
      </c>
      <c r="J14" s="1" t="s">
        <v>41</v>
      </c>
      <c r="K14" s="1" t="s">
        <v>43</v>
      </c>
      <c r="L14" s="1" t="s">
        <v>49</v>
      </c>
      <c r="M14" s="1" t="s">
        <v>41</v>
      </c>
      <c r="N14" s="1" t="s">
        <v>50</v>
      </c>
      <c r="O14" s="1" t="s">
        <v>48</v>
      </c>
      <c r="P14" s="1" t="s">
        <v>41</v>
      </c>
      <c r="Q14" s="1" t="s">
        <v>48</v>
      </c>
      <c r="R14" s="1" t="s">
        <v>44</v>
      </c>
      <c r="S14" s="1" t="s">
        <v>44</v>
      </c>
      <c r="T14" s="1" t="s">
        <v>52</v>
      </c>
      <c r="V14" s="5" t="s">
        <v>23</v>
      </c>
      <c r="W14" s="18" t="s">
        <v>7</v>
      </c>
    </row>
    <row r="15" spans="1:24" ht="15" thickBot="1" x14ac:dyDescent="0.25">
      <c r="A15" s="2">
        <v>13</v>
      </c>
      <c r="B15" s="1" t="s">
        <v>40</v>
      </c>
      <c r="C15" s="1" t="s">
        <v>42</v>
      </c>
      <c r="D15" s="1" t="s">
        <v>41</v>
      </c>
      <c r="E15" s="1" t="s">
        <v>43</v>
      </c>
      <c r="F15" s="1" t="s">
        <v>42</v>
      </c>
      <c r="G15" s="1" t="s">
        <v>44</v>
      </c>
      <c r="H15" s="1" t="s">
        <v>41</v>
      </c>
      <c r="I15" s="1" t="s">
        <v>48</v>
      </c>
      <c r="J15" s="1" t="s">
        <v>41</v>
      </c>
      <c r="K15" s="1" t="s">
        <v>43</v>
      </c>
      <c r="L15" s="1" t="s">
        <v>49</v>
      </c>
      <c r="M15" s="1" t="s">
        <v>41</v>
      </c>
      <c r="N15" s="1" t="s">
        <v>50</v>
      </c>
      <c r="O15" s="1" t="s">
        <v>48</v>
      </c>
      <c r="P15" s="1" t="s">
        <v>41</v>
      </c>
      <c r="Q15" s="1" t="s">
        <v>48</v>
      </c>
      <c r="R15" s="1" t="s">
        <v>44</v>
      </c>
      <c r="S15" s="1" t="s">
        <v>44</v>
      </c>
      <c r="T15" s="1" t="s">
        <v>53</v>
      </c>
      <c r="V15" s="9" t="s">
        <v>34</v>
      </c>
      <c r="W15" s="18" t="s">
        <v>7</v>
      </c>
    </row>
    <row r="16" spans="1:24" ht="15" thickBot="1" x14ac:dyDescent="0.25">
      <c r="A16" s="2">
        <v>14</v>
      </c>
      <c r="B16" s="1" t="s">
        <v>40</v>
      </c>
      <c r="C16" s="1" t="s">
        <v>42</v>
      </c>
      <c r="D16" s="1" t="s">
        <v>41</v>
      </c>
      <c r="E16" s="1" t="s">
        <v>42</v>
      </c>
      <c r="F16" s="1" t="s">
        <v>42</v>
      </c>
      <c r="G16" s="1" t="s">
        <v>41</v>
      </c>
      <c r="H16" s="1" t="s">
        <v>44</v>
      </c>
      <c r="I16" s="1" t="s">
        <v>48</v>
      </c>
      <c r="J16" s="1" t="s">
        <v>41</v>
      </c>
      <c r="K16" s="1" t="s">
        <v>43</v>
      </c>
      <c r="L16" s="1" t="s">
        <v>48</v>
      </c>
      <c r="M16" s="1" t="s">
        <v>41</v>
      </c>
      <c r="N16" s="1" t="s">
        <v>50</v>
      </c>
      <c r="O16" s="1" t="s">
        <v>48</v>
      </c>
      <c r="P16" s="1" t="s">
        <v>41</v>
      </c>
      <c r="Q16" s="1" t="s">
        <v>41</v>
      </c>
      <c r="R16" s="1" t="s">
        <v>44</v>
      </c>
      <c r="S16" s="1" t="s">
        <v>44</v>
      </c>
      <c r="T16" s="1" t="s">
        <v>52</v>
      </c>
      <c r="V16" s="9" t="s">
        <v>31</v>
      </c>
      <c r="W16" s="18" t="s">
        <v>7</v>
      </c>
    </row>
    <row r="17" spans="1:23" ht="15" thickBot="1" x14ac:dyDescent="0.25">
      <c r="A17" s="2">
        <v>15</v>
      </c>
      <c r="B17" s="1" t="s">
        <v>40</v>
      </c>
      <c r="C17" s="1" t="s">
        <v>42</v>
      </c>
      <c r="D17" s="1" t="s">
        <v>41</v>
      </c>
      <c r="E17" s="1" t="s">
        <v>42</v>
      </c>
      <c r="F17" s="1" t="s">
        <v>42</v>
      </c>
      <c r="G17" s="1" t="s">
        <v>44</v>
      </c>
      <c r="H17" s="1" t="s">
        <v>41</v>
      </c>
      <c r="I17" s="1" t="s">
        <v>48</v>
      </c>
      <c r="J17" s="1" t="s">
        <v>41</v>
      </c>
      <c r="K17" s="1" t="s">
        <v>43</v>
      </c>
      <c r="L17" s="1" t="s">
        <v>49</v>
      </c>
      <c r="M17" s="1" t="s">
        <v>41</v>
      </c>
      <c r="N17" s="1" t="s">
        <v>50</v>
      </c>
      <c r="O17" s="1" t="s">
        <v>48</v>
      </c>
      <c r="P17" s="1" t="s">
        <v>41</v>
      </c>
      <c r="Q17" s="1" t="s">
        <v>41</v>
      </c>
      <c r="R17" s="1" t="s">
        <v>44</v>
      </c>
      <c r="S17" s="1" t="s">
        <v>44</v>
      </c>
      <c r="T17" s="1" t="s">
        <v>53</v>
      </c>
      <c r="V17" s="1" t="s">
        <v>23</v>
      </c>
      <c r="W17" s="18" t="s">
        <v>8</v>
      </c>
    </row>
    <row r="18" spans="1:23" ht="15" thickBot="1" x14ac:dyDescent="0.25">
      <c r="A18" s="2">
        <v>16</v>
      </c>
      <c r="B18" s="1" t="s">
        <v>40</v>
      </c>
      <c r="C18" s="1" t="s">
        <v>42</v>
      </c>
      <c r="D18" s="1" t="s">
        <v>41</v>
      </c>
      <c r="E18" s="1" t="s">
        <v>42</v>
      </c>
      <c r="F18" s="1" t="s">
        <v>41</v>
      </c>
      <c r="G18" s="1" t="s">
        <v>44</v>
      </c>
      <c r="H18" s="1" t="s">
        <v>41</v>
      </c>
      <c r="I18" s="1" t="s">
        <v>48</v>
      </c>
      <c r="J18" s="1" t="s">
        <v>41</v>
      </c>
      <c r="K18" s="1" t="s">
        <v>43</v>
      </c>
      <c r="L18" s="1" t="s">
        <v>49</v>
      </c>
      <c r="M18" s="1" t="s">
        <v>41</v>
      </c>
      <c r="N18" s="1" t="s">
        <v>50</v>
      </c>
      <c r="O18" s="1" t="s">
        <v>48</v>
      </c>
      <c r="P18" s="1" t="s">
        <v>41</v>
      </c>
      <c r="Q18" s="1" t="s">
        <v>41</v>
      </c>
      <c r="R18" s="1" t="s">
        <v>44</v>
      </c>
      <c r="S18" s="1" t="s">
        <v>44</v>
      </c>
      <c r="T18" s="1" t="s">
        <v>52</v>
      </c>
      <c r="V18" s="5" t="s">
        <v>24</v>
      </c>
      <c r="W18" s="18" t="s">
        <v>8</v>
      </c>
    </row>
    <row r="19" spans="1:23" ht="15" thickBot="1" x14ac:dyDescent="0.25">
      <c r="A19" s="2">
        <v>17</v>
      </c>
      <c r="B19" s="1" t="s">
        <v>40</v>
      </c>
      <c r="C19" s="1" t="s">
        <v>42</v>
      </c>
      <c r="D19" s="1" t="s">
        <v>41</v>
      </c>
      <c r="E19" s="1" t="s">
        <v>42</v>
      </c>
      <c r="F19" s="1" t="s">
        <v>41</v>
      </c>
      <c r="G19" s="1" t="s">
        <v>44</v>
      </c>
      <c r="H19" s="1" t="s">
        <v>41</v>
      </c>
      <c r="I19" s="1" t="s">
        <v>48</v>
      </c>
      <c r="J19" s="1" t="s">
        <v>41</v>
      </c>
      <c r="K19" s="1" t="s">
        <v>43</v>
      </c>
      <c r="L19" s="1" t="s">
        <v>49</v>
      </c>
      <c r="M19" s="1" t="s">
        <v>41</v>
      </c>
      <c r="N19" s="1" t="s">
        <v>50</v>
      </c>
      <c r="O19" s="1" t="s">
        <v>48</v>
      </c>
      <c r="P19" s="1" t="s">
        <v>41</v>
      </c>
      <c r="Q19" s="1" t="s">
        <v>48</v>
      </c>
      <c r="R19" s="1" t="s">
        <v>44</v>
      </c>
      <c r="S19" s="1" t="s">
        <v>44</v>
      </c>
      <c r="T19" s="1" t="s">
        <v>52</v>
      </c>
      <c r="V19" s="29" t="s">
        <v>25</v>
      </c>
      <c r="W19" s="18" t="s">
        <v>9</v>
      </c>
    </row>
    <row r="20" spans="1:23" ht="15" thickBot="1" x14ac:dyDescent="0.25">
      <c r="A20" s="2">
        <v>18</v>
      </c>
      <c r="B20" s="1" t="s">
        <v>40</v>
      </c>
      <c r="C20" s="1" t="s">
        <v>42</v>
      </c>
      <c r="D20" s="1" t="s">
        <v>41</v>
      </c>
      <c r="E20" s="1" t="s">
        <v>42</v>
      </c>
      <c r="F20" s="1" t="s">
        <v>42</v>
      </c>
      <c r="G20" s="1" t="s">
        <v>44</v>
      </c>
      <c r="H20" s="1" t="s">
        <v>41</v>
      </c>
      <c r="I20" s="1" t="s">
        <v>48</v>
      </c>
      <c r="J20" s="1" t="s">
        <v>41</v>
      </c>
      <c r="K20" s="1" t="s">
        <v>43</v>
      </c>
      <c r="L20" s="1" t="s">
        <v>49</v>
      </c>
      <c r="M20" s="1" t="s">
        <v>41</v>
      </c>
      <c r="N20" s="1" t="s">
        <v>50</v>
      </c>
      <c r="O20" s="1" t="s">
        <v>48</v>
      </c>
      <c r="P20" s="1" t="s">
        <v>41</v>
      </c>
      <c r="Q20" s="1" t="s">
        <v>41</v>
      </c>
      <c r="R20" s="1" t="s">
        <v>46</v>
      </c>
      <c r="S20" s="1" t="s">
        <v>44</v>
      </c>
      <c r="T20" s="1" t="s">
        <v>52</v>
      </c>
      <c r="V20" s="30" t="s">
        <v>30</v>
      </c>
      <c r="W20" s="18" t="s">
        <v>9</v>
      </c>
    </row>
    <row r="21" spans="1:23" ht="15" thickBot="1" x14ac:dyDescent="0.25">
      <c r="A21" s="2">
        <v>19</v>
      </c>
      <c r="B21" s="1" t="s">
        <v>40</v>
      </c>
      <c r="C21" s="1" t="s">
        <v>42</v>
      </c>
      <c r="D21" s="1" t="s">
        <v>41</v>
      </c>
      <c r="E21" s="1" t="s">
        <v>42</v>
      </c>
      <c r="F21" s="1" t="s">
        <v>42</v>
      </c>
      <c r="G21" s="1" t="s">
        <v>44</v>
      </c>
      <c r="H21" s="1" t="s">
        <v>41</v>
      </c>
      <c r="I21" s="1" t="s">
        <v>48</v>
      </c>
      <c r="J21" s="1" t="s">
        <v>41</v>
      </c>
      <c r="K21" s="1" t="s">
        <v>43</v>
      </c>
      <c r="L21" s="1" t="s">
        <v>49</v>
      </c>
      <c r="M21" s="1" t="s">
        <v>41</v>
      </c>
      <c r="N21" s="1" t="s">
        <v>50</v>
      </c>
      <c r="O21" s="1" t="s">
        <v>48</v>
      </c>
      <c r="P21" s="1" t="s">
        <v>41</v>
      </c>
      <c r="Q21" s="1" t="s">
        <v>48</v>
      </c>
      <c r="R21" s="1" t="s">
        <v>45</v>
      </c>
      <c r="S21" s="1" t="s">
        <v>44</v>
      </c>
      <c r="T21" s="1" t="s">
        <v>52</v>
      </c>
      <c r="V21" s="1" t="s">
        <v>23</v>
      </c>
      <c r="W21" s="18" t="s">
        <v>10</v>
      </c>
    </row>
    <row r="22" spans="1:23" ht="15" thickBot="1" x14ac:dyDescent="0.25">
      <c r="A22" s="2">
        <v>20</v>
      </c>
      <c r="B22" s="1" t="s">
        <v>40</v>
      </c>
      <c r="C22" s="1" t="s">
        <v>42</v>
      </c>
      <c r="D22" s="1" t="s">
        <v>41</v>
      </c>
      <c r="E22" s="1" t="s">
        <v>42</v>
      </c>
      <c r="F22" s="1" t="s">
        <v>42</v>
      </c>
      <c r="G22" s="1" t="s">
        <v>46</v>
      </c>
      <c r="H22" s="1" t="s">
        <v>41</v>
      </c>
      <c r="I22" s="1" t="s">
        <v>48</v>
      </c>
      <c r="J22" s="1" t="s">
        <v>41</v>
      </c>
      <c r="K22" s="1" t="s">
        <v>43</v>
      </c>
      <c r="L22" s="1" t="s">
        <v>49</v>
      </c>
      <c r="M22" s="1" t="s">
        <v>41</v>
      </c>
      <c r="N22" s="1" t="s">
        <v>50</v>
      </c>
      <c r="O22" s="1" t="s">
        <v>48</v>
      </c>
      <c r="P22" s="1" t="s">
        <v>41</v>
      </c>
      <c r="Q22" s="1" t="s">
        <v>41</v>
      </c>
      <c r="R22" s="1" t="s">
        <v>46</v>
      </c>
      <c r="S22" s="1" t="s">
        <v>44</v>
      </c>
      <c r="T22" s="1" t="s">
        <v>52</v>
      </c>
      <c r="V22" s="9" t="s">
        <v>22</v>
      </c>
      <c r="W22" s="18" t="s">
        <v>10</v>
      </c>
    </row>
    <row r="23" spans="1:23" ht="15" thickBot="1" x14ac:dyDescent="0.25">
      <c r="A23" s="2">
        <v>21</v>
      </c>
      <c r="B23" s="1" t="s">
        <v>40</v>
      </c>
      <c r="C23" s="1" t="s">
        <v>42</v>
      </c>
      <c r="D23" s="1" t="s">
        <v>41</v>
      </c>
      <c r="E23" s="1" t="s">
        <v>42</v>
      </c>
      <c r="F23" s="1" t="s">
        <v>42</v>
      </c>
      <c r="G23" s="1" t="s">
        <v>46</v>
      </c>
      <c r="H23" s="1" t="s">
        <v>41</v>
      </c>
      <c r="I23" s="1" t="s">
        <v>48</v>
      </c>
      <c r="J23" s="1" t="s">
        <v>41</v>
      </c>
      <c r="K23" s="1" t="s">
        <v>43</v>
      </c>
      <c r="L23" s="1" t="s">
        <v>49</v>
      </c>
      <c r="M23" s="1" t="s">
        <v>41</v>
      </c>
      <c r="N23" s="1" t="s">
        <v>50</v>
      </c>
      <c r="O23" s="1" t="s">
        <v>48</v>
      </c>
      <c r="P23" s="1" t="s">
        <v>41</v>
      </c>
      <c r="Q23" s="1" t="s">
        <v>48</v>
      </c>
      <c r="R23" s="1" t="s">
        <v>44</v>
      </c>
      <c r="S23" s="1" t="s">
        <v>44</v>
      </c>
      <c r="T23" s="1" t="s">
        <v>53</v>
      </c>
      <c r="V23" s="1" t="s">
        <v>26</v>
      </c>
      <c r="W23" s="18" t="s">
        <v>11</v>
      </c>
    </row>
    <row r="24" spans="1:23" ht="15" thickBot="1" x14ac:dyDescent="0.25">
      <c r="A24" s="2">
        <v>22</v>
      </c>
      <c r="B24" s="1" t="s">
        <v>40</v>
      </c>
      <c r="C24" s="1" t="s">
        <v>42</v>
      </c>
      <c r="D24" s="1" t="s">
        <v>41</v>
      </c>
      <c r="E24" s="1" t="s">
        <v>42</v>
      </c>
      <c r="F24" s="1" t="s">
        <v>41</v>
      </c>
      <c r="G24" s="1" t="s">
        <v>44</v>
      </c>
      <c r="H24" s="1" t="s">
        <v>41</v>
      </c>
      <c r="I24" s="1" t="s">
        <v>48</v>
      </c>
      <c r="J24" s="1" t="s">
        <v>41</v>
      </c>
      <c r="K24" s="1" t="s">
        <v>43</v>
      </c>
      <c r="L24" s="1" t="s">
        <v>49</v>
      </c>
      <c r="M24" s="1" t="s">
        <v>41</v>
      </c>
      <c r="N24" s="1" t="s">
        <v>50</v>
      </c>
      <c r="O24" s="1" t="s">
        <v>48</v>
      </c>
      <c r="P24" s="1" t="s">
        <v>41</v>
      </c>
      <c r="Q24" s="1" t="s">
        <v>48</v>
      </c>
      <c r="R24" s="1" t="s">
        <v>46</v>
      </c>
      <c r="S24" s="1" t="s">
        <v>44</v>
      </c>
      <c r="T24" s="1" t="s">
        <v>52</v>
      </c>
      <c r="V24" s="1" t="s">
        <v>30</v>
      </c>
      <c r="W24" s="18" t="s">
        <v>12</v>
      </c>
    </row>
    <row r="25" spans="1:23" ht="15" thickBot="1" x14ac:dyDescent="0.25">
      <c r="A25" s="2">
        <v>23</v>
      </c>
      <c r="B25" s="1" t="s">
        <v>40</v>
      </c>
      <c r="C25" s="1" t="s">
        <v>42</v>
      </c>
      <c r="D25" s="1" t="s">
        <v>41</v>
      </c>
      <c r="E25" s="1" t="s">
        <v>42</v>
      </c>
      <c r="F25" s="1" t="s">
        <v>42</v>
      </c>
      <c r="G25" s="1" t="s">
        <v>44</v>
      </c>
      <c r="H25" s="1" t="s">
        <v>41</v>
      </c>
      <c r="I25" s="1" t="s">
        <v>48</v>
      </c>
      <c r="J25" s="1" t="s">
        <v>41</v>
      </c>
      <c r="K25" s="1" t="s">
        <v>43</v>
      </c>
      <c r="L25" s="1" t="s">
        <v>49</v>
      </c>
      <c r="M25" s="1" t="s">
        <v>41</v>
      </c>
      <c r="N25" s="1" t="s">
        <v>50</v>
      </c>
      <c r="O25" s="1" t="s">
        <v>48</v>
      </c>
      <c r="P25" s="1" t="s">
        <v>41</v>
      </c>
      <c r="Q25" s="1" t="s">
        <v>48</v>
      </c>
      <c r="R25" s="1" t="s">
        <v>46</v>
      </c>
      <c r="S25" s="1" t="s">
        <v>44</v>
      </c>
      <c r="T25" s="1" t="s">
        <v>52</v>
      </c>
      <c r="V25" s="5" t="s">
        <v>25</v>
      </c>
      <c r="W25" s="18" t="s">
        <v>12</v>
      </c>
    </row>
    <row r="26" spans="1:23" ht="15" thickBot="1" x14ac:dyDescent="0.25">
      <c r="A26" s="2">
        <v>24</v>
      </c>
      <c r="B26" s="1" t="s">
        <v>40</v>
      </c>
      <c r="C26" s="1" t="s">
        <v>42</v>
      </c>
      <c r="D26" s="1" t="s">
        <v>41</v>
      </c>
      <c r="E26" s="1" t="s">
        <v>42</v>
      </c>
      <c r="F26" s="1" t="s">
        <v>42</v>
      </c>
      <c r="G26" s="1" t="s">
        <v>44</v>
      </c>
      <c r="H26" s="1" t="s">
        <v>41</v>
      </c>
      <c r="I26" s="1" t="s">
        <v>48</v>
      </c>
      <c r="J26" s="1" t="s">
        <v>41</v>
      </c>
      <c r="K26" s="1" t="s">
        <v>43</v>
      </c>
      <c r="L26" s="1" t="s">
        <v>49</v>
      </c>
      <c r="M26" s="1" t="s">
        <v>41</v>
      </c>
      <c r="N26" s="1" t="s">
        <v>50</v>
      </c>
      <c r="O26" s="1" t="s">
        <v>48</v>
      </c>
      <c r="P26" s="1" t="s">
        <v>41</v>
      </c>
      <c r="Q26" s="1" t="s">
        <v>41</v>
      </c>
      <c r="R26" s="1" t="s">
        <v>45</v>
      </c>
      <c r="S26" s="1" t="s">
        <v>44</v>
      </c>
      <c r="T26" s="1" t="s">
        <v>53</v>
      </c>
      <c r="V26" s="1" t="s">
        <v>23</v>
      </c>
      <c r="W26" s="18" t="s">
        <v>13</v>
      </c>
    </row>
    <row r="27" spans="1:23" ht="15" thickBot="1" x14ac:dyDescent="0.25">
      <c r="A27" s="2">
        <v>25</v>
      </c>
      <c r="B27" s="1" t="s">
        <v>40</v>
      </c>
      <c r="C27" s="1" t="s">
        <v>42</v>
      </c>
      <c r="D27" s="1" t="s">
        <v>41</v>
      </c>
      <c r="E27" s="1" t="s">
        <v>42</v>
      </c>
      <c r="F27" s="1" t="s">
        <v>42</v>
      </c>
      <c r="G27" s="1" t="s">
        <v>44</v>
      </c>
      <c r="H27" s="1" t="s">
        <v>41</v>
      </c>
      <c r="I27" s="1" t="s">
        <v>48</v>
      </c>
      <c r="J27" s="1" t="s">
        <v>41</v>
      </c>
      <c r="K27" s="1" t="s">
        <v>43</v>
      </c>
      <c r="L27" s="1" t="s">
        <v>49</v>
      </c>
      <c r="M27" s="1" t="s">
        <v>41</v>
      </c>
      <c r="N27" s="1" t="s">
        <v>50</v>
      </c>
      <c r="O27" s="1" t="s">
        <v>48</v>
      </c>
      <c r="P27" s="1" t="s">
        <v>41</v>
      </c>
      <c r="Q27" s="1" t="s">
        <v>48</v>
      </c>
      <c r="R27" s="1" t="s">
        <v>44</v>
      </c>
      <c r="S27" s="1" t="s">
        <v>44</v>
      </c>
      <c r="T27" s="1" t="s">
        <v>53</v>
      </c>
      <c r="V27" s="1" t="s">
        <v>28</v>
      </c>
      <c r="W27" s="18" t="s">
        <v>14</v>
      </c>
    </row>
    <row r="28" spans="1:23" ht="15" thickBot="1" x14ac:dyDescent="0.25">
      <c r="A28" s="2">
        <v>26</v>
      </c>
      <c r="B28" s="1" t="s">
        <v>40</v>
      </c>
      <c r="C28" s="1" t="s">
        <v>42</v>
      </c>
      <c r="D28" s="1" t="s">
        <v>41</v>
      </c>
      <c r="E28" s="1" t="s">
        <v>42</v>
      </c>
      <c r="F28" s="1" t="s">
        <v>42</v>
      </c>
      <c r="G28" s="1" t="s">
        <v>45</v>
      </c>
      <c r="H28" s="1" t="s">
        <v>41</v>
      </c>
      <c r="I28" s="1" t="s">
        <v>48</v>
      </c>
      <c r="J28" s="1" t="s">
        <v>41</v>
      </c>
      <c r="K28" s="1" t="s">
        <v>43</v>
      </c>
      <c r="L28" s="1" t="s">
        <v>49</v>
      </c>
      <c r="M28" s="1" t="s">
        <v>41</v>
      </c>
      <c r="N28" s="1" t="s">
        <v>50</v>
      </c>
      <c r="O28" s="1" t="s">
        <v>48</v>
      </c>
      <c r="P28" s="1" t="s">
        <v>41</v>
      </c>
      <c r="Q28" s="1" t="s">
        <v>41</v>
      </c>
      <c r="R28" s="1" t="s">
        <v>45</v>
      </c>
      <c r="S28" s="1" t="s">
        <v>44</v>
      </c>
      <c r="T28" s="1" t="s">
        <v>52</v>
      </c>
      <c r="V28" s="17" t="s">
        <v>25</v>
      </c>
      <c r="W28" s="18" t="s">
        <v>15</v>
      </c>
    </row>
    <row r="29" spans="1:23" ht="15" thickBot="1" x14ac:dyDescent="0.25">
      <c r="A29" s="2">
        <v>27</v>
      </c>
      <c r="B29" s="1" t="s">
        <v>40</v>
      </c>
      <c r="C29" s="1" t="s">
        <v>42</v>
      </c>
      <c r="D29" s="1" t="s">
        <v>41</v>
      </c>
      <c r="E29" s="1" t="s">
        <v>42</v>
      </c>
      <c r="F29" s="1" t="s">
        <v>42</v>
      </c>
      <c r="G29" s="1" t="s">
        <v>44</v>
      </c>
      <c r="H29" s="1" t="s">
        <v>41</v>
      </c>
      <c r="I29" s="1" t="s">
        <v>49</v>
      </c>
      <c r="J29" s="1" t="s">
        <v>41</v>
      </c>
      <c r="K29" s="1" t="s">
        <v>43</v>
      </c>
      <c r="L29" s="1" t="s">
        <v>49</v>
      </c>
      <c r="M29" s="1" t="s">
        <v>41</v>
      </c>
      <c r="N29" s="1" t="s">
        <v>50</v>
      </c>
      <c r="O29" s="1" t="s">
        <v>48</v>
      </c>
      <c r="P29" s="1" t="s">
        <v>41</v>
      </c>
      <c r="Q29" s="1" t="s">
        <v>48</v>
      </c>
      <c r="R29" s="1" t="s">
        <v>44</v>
      </c>
      <c r="S29" s="1" t="s">
        <v>44</v>
      </c>
      <c r="T29" s="1" t="s">
        <v>53</v>
      </c>
      <c r="V29" s="9" t="s">
        <v>22</v>
      </c>
      <c r="W29" s="18" t="s">
        <v>15</v>
      </c>
    </row>
    <row r="30" spans="1:23" ht="15" thickBot="1" x14ac:dyDescent="0.25">
      <c r="A30" s="2">
        <v>28</v>
      </c>
      <c r="B30" s="1" t="s">
        <v>40</v>
      </c>
      <c r="C30" s="1" t="s">
        <v>42</v>
      </c>
      <c r="D30" s="1" t="s">
        <v>41</v>
      </c>
      <c r="E30" s="1" t="s">
        <v>42</v>
      </c>
      <c r="F30" s="1" t="s">
        <v>42</v>
      </c>
      <c r="G30" s="1" t="s">
        <v>44</v>
      </c>
      <c r="H30" s="1" t="s">
        <v>41</v>
      </c>
      <c r="I30" s="1" t="s">
        <v>48</v>
      </c>
      <c r="J30" s="1" t="s">
        <v>41</v>
      </c>
      <c r="K30" s="1" t="s">
        <v>43</v>
      </c>
      <c r="L30" s="1" t="s">
        <v>49</v>
      </c>
      <c r="M30" s="1" t="s">
        <v>41</v>
      </c>
      <c r="N30" s="1" t="s">
        <v>50</v>
      </c>
      <c r="O30" s="1" t="s">
        <v>48</v>
      </c>
      <c r="P30" s="1" t="s">
        <v>41</v>
      </c>
      <c r="Q30" s="1" t="s">
        <v>41</v>
      </c>
      <c r="R30" s="1" t="s">
        <v>44</v>
      </c>
      <c r="S30" s="1" t="s">
        <v>45</v>
      </c>
      <c r="T30" s="1" t="s">
        <v>53</v>
      </c>
      <c r="V30" s="1" t="s">
        <v>23</v>
      </c>
      <c r="W30" s="18" t="s">
        <v>16</v>
      </c>
    </row>
    <row r="31" spans="1:23" ht="15" thickBot="1" x14ac:dyDescent="0.25">
      <c r="A31" s="2">
        <v>29</v>
      </c>
      <c r="B31" s="1" t="s">
        <v>40</v>
      </c>
      <c r="C31" s="1" t="s">
        <v>42</v>
      </c>
      <c r="D31" s="1" t="s">
        <v>41</v>
      </c>
      <c r="E31" s="1" t="s">
        <v>42</v>
      </c>
      <c r="F31" s="1" t="s">
        <v>42</v>
      </c>
      <c r="G31" s="1" t="s">
        <v>45</v>
      </c>
      <c r="H31" s="1" t="s">
        <v>41</v>
      </c>
      <c r="I31" s="1" t="s">
        <v>48</v>
      </c>
      <c r="J31" s="1" t="s">
        <v>41</v>
      </c>
      <c r="K31" s="1" t="s">
        <v>43</v>
      </c>
      <c r="L31" s="1" t="s">
        <v>49</v>
      </c>
      <c r="M31" s="1" t="s">
        <v>41</v>
      </c>
      <c r="N31" s="1" t="s">
        <v>50</v>
      </c>
      <c r="O31" s="1" t="s">
        <v>48</v>
      </c>
      <c r="P31" s="1" t="s">
        <v>41</v>
      </c>
      <c r="Q31" s="1" t="s">
        <v>48</v>
      </c>
      <c r="R31" s="1" t="s">
        <v>44</v>
      </c>
      <c r="S31" s="1" t="s">
        <v>44</v>
      </c>
      <c r="T31" s="1" t="s">
        <v>52</v>
      </c>
      <c r="V31" s="1" t="s">
        <v>23</v>
      </c>
      <c r="W31" s="18" t="s">
        <v>17</v>
      </c>
    </row>
    <row r="32" spans="1:23" ht="15" thickBot="1" x14ac:dyDescent="0.25">
      <c r="A32" s="2">
        <v>30</v>
      </c>
      <c r="B32" s="1" t="s">
        <v>40</v>
      </c>
      <c r="C32" s="1" t="s">
        <v>42</v>
      </c>
      <c r="D32" s="1" t="s">
        <v>41</v>
      </c>
      <c r="E32" s="1" t="s">
        <v>42</v>
      </c>
      <c r="F32" s="1" t="s">
        <v>42</v>
      </c>
      <c r="G32" s="1" t="s">
        <v>44</v>
      </c>
      <c r="H32" s="1" t="s">
        <v>41</v>
      </c>
      <c r="I32" s="1" t="s">
        <v>49</v>
      </c>
      <c r="J32" s="1" t="s">
        <v>41</v>
      </c>
      <c r="K32" s="1" t="s">
        <v>43</v>
      </c>
      <c r="L32" s="1" t="s">
        <v>49</v>
      </c>
      <c r="M32" s="1" t="s">
        <v>41</v>
      </c>
      <c r="N32" s="1" t="s">
        <v>50</v>
      </c>
      <c r="O32" s="1" t="s">
        <v>48</v>
      </c>
      <c r="P32" s="1" t="s">
        <v>41</v>
      </c>
      <c r="Q32" s="1" t="s">
        <v>41</v>
      </c>
      <c r="R32" s="1" t="s">
        <v>45</v>
      </c>
      <c r="S32" s="1" t="s">
        <v>44</v>
      </c>
      <c r="T32" s="1" t="s">
        <v>52</v>
      </c>
      <c r="V32" s="9" t="s">
        <v>25</v>
      </c>
      <c r="W32" s="18" t="s">
        <v>17</v>
      </c>
    </row>
    <row r="33" spans="1:23" ht="15" thickBot="1" x14ac:dyDescent="0.25">
      <c r="A33" s="2">
        <v>31</v>
      </c>
      <c r="B33" s="1" t="s">
        <v>40</v>
      </c>
      <c r="C33" s="1" t="s">
        <v>42</v>
      </c>
      <c r="D33" s="1" t="s">
        <v>41</v>
      </c>
      <c r="E33" s="1" t="s">
        <v>42</v>
      </c>
      <c r="F33" s="1" t="s">
        <v>42</v>
      </c>
      <c r="G33" s="1" t="s">
        <v>44</v>
      </c>
      <c r="H33" s="1" t="s">
        <v>41</v>
      </c>
      <c r="I33" s="1" t="s">
        <v>48</v>
      </c>
      <c r="J33" s="1" t="s">
        <v>42</v>
      </c>
      <c r="K33" s="1" t="s">
        <v>43</v>
      </c>
      <c r="L33" s="1" t="s">
        <v>49</v>
      </c>
      <c r="M33" s="1" t="s">
        <v>41</v>
      </c>
      <c r="N33" s="1" t="s">
        <v>50</v>
      </c>
      <c r="O33" s="1" t="s">
        <v>42</v>
      </c>
      <c r="P33" s="1" t="s">
        <v>41</v>
      </c>
      <c r="Q33" s="1" t="s">
        <v>48</v>
      </c>
      <c r="R33" s="1" t="s">
        <v>44</v>
      </c>
      <c r="S33" s="1" t="s">
        <v>44</v>
      </c>
      <c r="T33" s="1" t="s">
        <v>52</v>
      </c>
      <c r="V33" s="1" t="s">
        <v>24</v>
      </c>
      <c r="W33" s="18" t="s">
        <v>18</v>
      </c>
    </row>
    <row r="34" spans="1:23" ht="15" thickBot="1" x14ac:dyDescent="0.25">
      <c r="A34" s="2">
        <v>32</v>
      </c>
      <c r="B34" s="1" t="s">
        <v>40</v>
      </c>
      <c r="C34" s="1" t="s">
        <v>48</v>
      </c>
      <c r="D34" s="1" t="s">
        <v>41</v>
      </c>
      <c r="E34" s="1" t="s">
        <v>42</v>
      </c>
      <c r="F34" s="1" t="s">
        <v>42</v>
      </c>
      <c r="G34" s="1" t="s">
        <v>44</v>
      </c>
      <c r="H34" s="1" t="s">
        <v>41</v>
      </c>
      <c r="I34" s="1" t="s">
        <v>48</v>
      </c>
      <c r="J34" s="1" t="s">
        <v>41</v>
      </c>
      <c r="K34" s="1" t="s">
        <v>43</v>
      </c>
      <c r="L34" s="1" t="s">
        <v>49</v>
      </c>
      <c r="M34" s="1" t="s">
        <v>41</v>
      </c>
      <c r="N34" s="1" t="s">
        <v>50</v>
      </c>
      <c r="O34" s="1" t="s">
        <v>48</v>
      </c>
      <c r="P34" s="1" t="s">
        <v>41</v>
      </c>
      <c r="Q34" s="1" t="s">
        <v>41</v>
      </c>
      <c r="R34" s="1" t="s">
        <v>44</v>
      </c>
      <c r="S34" s="1" t="s">
        <v>44</v>
      </c>
      <c r="T34" s="1" t="s">
        <v>52</v>
      </c>
      <c r="V34" s="16" t="s">
        <v>34</v>
      </c>
      <c r="W34" s="18" t="s">
        <v>18</v>
      </c>
    </row>
    <row r="35" spans="1:23" ht="15" thickBot="1" x14ac:dyDescent="0.25">
      <c r="A35" s="2">
        <v>33</v>
      </c>
      <c r="B35" s="1" t="s">
        <v>40</v>
      </c>
      <c r="C35" s="1" t="s">
        <v>48</v>
      </c>
      <c r="D35" s="1" t="s">
        <v>41</v>
      </c>
      <c r="E35" s="1" t="s">
        <v>42</v>
      </c>
      <c r="F35" s="1" t="s">
        <v>42</v>
      </c>
      <c r="G35" s="1" t="s">
        <v>44</v>
      </c>
      <c r="H35" s="1" t="s">
        <v>41</v>
      </c>
      <c r="I35" s="1" t="s">
        <v>48</v>
      </c>
      <c r="J35" s="1" t="s">
        <v>41</v>
      </c>
      <c r="K35" s="1" t="s">
        <v>43</v>
      </c>
      <c r="L35" s="1" t="s">
        <v>49</v>
      </c>
      <c r="M35" s="1" t="s">
        <v>41</v>
      </c>
      <c r="N35" s="1" t="s">
        <v>50</v>
      </c>
      <c r="O35" s="1" t="s">
        <v>48</v>
      </c>
      <c r="P35" s="1" t="s">
        <v>41</v>
      </c>
      <c r="Q35" s="1" t="s">
        <v>41</v>
      </c>
      <c r="R35" s="1" t="s">
        <v>46</v>
      </c>
      <c r="S35" s="1" t="s">
        <v>44</v>
      </c>
      <c r="T35" s="1" t="s">
        <v>52</v>
      </c>
      <c r="V35" s="9" t="s">
        <v>31</v>
      </c>
      <c r="W35" s="18" t="s">
        <v>18</v>
      </c>
    </row>
    <row r="36" spans="1:23" ht="15" thickBot="1" x14ac:dyDescent="0.25">
      <c r="A36" s="2">
        <v>34</v>
      </c>
      <c r="B36" s="1" t="s">
        <v>40</v>
      </c>
      <c r="C36" s="1" t="s">
        <v>42</v>
      </c>
      <c r="D36" s="1" t="s">
        <v>41</v>
      </c>
      <c r="E36" s="1" t="s">
        <v>42</v>
      </c>
      <c r="F36" s="1" t="s">
        <v>42</v>
      </c>
      <c r="G36" s="1" t="s">
        <v>46</v>
      </c>
      <c r="H36" s="1" t="s">
        <v>41</v>
      </c>
      <c r="I36" s="1" t="s">
        <v>48</v>
      </c>
      <c r="J36" s="1" t="s">
        <v>41</v>
      </c>
      <c r="K36" s="1" t="s">
        <v>43</v>
      </c>
      <c r="L36" s="1" t="s">
        <v>49</v>
      </c>
      <c r="M36" s="1" t="s">
        <v>41</v>
      </c>
      <c r="N36" s="1" t="s">
        <v>50</v>
      </c>
      <c r="O36" s="1" t="s">
        <v>48</v>
      </c>
      <c r="P36" s="1" t="s">
        <v>41</v>
      </c>
      <c r="Q36" s="1" t="s">
        <v>41</v>
      </c>
      <c r="R36" s="1" t="s">
        <v>44</v>
      </c>
      <c r="S36" s="1" t="s">
        <v>44</v>
      </c>
      <c r="T36" s="1" t="s">
        <v>52</v>
      </c>
      <c r="V36" s="1" t="s">
        <v>24</v>
      </c>
      <c r="W36" s="18" t="s">
        <v>19</v>
      </c>
    </row>
    <row r="37" spans="1:23" ht="15" thickBot="1" x14ac:dyDescent="0.25">
      <c r="A37" s="2">
        <v>35</v>
      </c>
      <c r="B37" s="1" t="s">
        <v>40</v>
      </c>
      <c r="C37" s="1" t="s">
        <v>42</v>
      </c>
      <c r="D37" s="1" t="s">
        <v>41</v>
      </c>
      <c r="E37" s="1" t="s">
        <v>42</v>
      </c>
      <c r="F37" s="1" t="s">
        <v>42</v>
      </c>
      <c r="G37" s="1" t="s">
        <v>45</v>
      </c>
      <c r="H37" s="1" t="s">
        <v>41</v>
      </c>
      <c r="I37" s="1" t="s">
        <v>48</v>
      </c>
      <c r="J37" s="1" t="s">
        <v>41</v>
      </c>
      <c r="K37" s="1" t="s">
        <v>43</v>
      </c>
      <c r="L37" s="1" t="s">
        <v>49</v>
      </c>
      <c r="M37" s="1" t="s">
        <v>41</v>
      </c>
      <c r="N37" s="1" t="s">
        <v>50</v>
      </c>
      <c r="O37" s="1" t="s">
        <v>48</v>
      </c>
      <c r="P37" s="1" t="s">
        <v>41</v>
      </c>
      <c r="Q37" s="1" t="s">
        <v>41</v>
      </c>
      <c r="R37" s="1" t="s">
        <v>46</v>
      </c>
      <c r="S37" s="1" t="s">
        <v>44</v>
      </c>
      <c r="T37" s="1" t="s">
        <v>52</v>
      </c>
      <c r="V37" s="16" t="s">
        <v>34</v>
      </c>
      <c r="W37" s="18" t="s">
        <v>19</v>
      </c>
    </row>
    <row r="38" spans="1:23" ht="15" thickBot="1" x14ac:dyDescent="0.25">
      <c r="A38" s="2">
        <v>36</v>
      </c>
      <c r="B38" s="1" t="s">
        <v>40</v>
      </c>
      <c r="C38" s="1" t="s">
        <v>42</v>
      </c>
      <c r="D38" s="1" t="s">
        <v>41</v>
      </c>
      <c r="E38" s="1" t="s">
        <v>42</v>
      </c>
      <c r="F38" s="1" t="s">
        <v>42</v>
      </c>
      <c r="G38" s="1" t="s">
        <v>45</v>
      </c>
      <c r="H38" s="1" t="s">
        <v>41</v>
      </c>
      <c r="I38" s="1" t="s">
        <v>48</v>
      </c>
      <c r="J38" s="1" t="s">
        <v>41</v>
      </c>
      <c r="K38" s="1" t="s">
        <v>43</v>
      </c>
      <c r="L38" s="1" t="s">
        <v>49</v>
      </c>
      <c r="M38" s="1" t="s">
        <v>41</v>
      </c>
      <c r="N38" s="1" t="s">
        <v>50</v>
      </c>
      <c r="O38" s="1" t="s">
        <v>48</v>
      </c>
      <c r="P38" s="1" t="s">
        <v>41</v>
      </c>
      <c r="Q38" s="1" t="s">
        <v>41</v>
      </c>
      <c r="R38" s="1" t="s">
        <v>44</v>
      </c>
      <c r="S38" s="1" t="s">
        <v>44</v>
      </c>
      <c r="T38" s="1" t="s">
        <v>53</v>
      </c>
      <c r="V38" s="9" t="s">
        <v>31</v>
      </c>
      <c r="W38" s="18" t="s">
        <v>19</v>
      </c>
    </row>
    <row r="39" spans="1:23" ht="15" thickBot="1" x14ac:dyDescent="0.25">
      <c r="A39" s="2">
        <v>37</v>
      </c>
      <c r="B39" s="1" t="s">
        <v>40</v>
      </c>
      <c r="C39" s="1" t="s">
        <v>42</v>
      </c>
      <c r="D39" s="1" t="s">
        <v>41</v>
      </c>
      <c r="E39" s="1" t="s">
        <v>42</v>
      </c>
      <c r="F39" s="1" t="s">
        <v>42</v>
      </c>
      <c r="G39" s="1" t="s">
        <v>44</v>
      </c>
      <c r="H39" s="1" t="s">
        <v>41</v>
      </c>
      <c r="I39" s="1" t="s">
        <v>48</v>
      </c>
      <c r="J39" s="1" t="s">
        <v>41</v>
      </c>
      <c r="K39" s="1" t="s">
        <v>43</v>
      </c>
      <c r="L39" s="1" t="s">
        <v>49</v>
      </c>
      <c r="M39" s="1" t="s">
        <v>41</v>
      </c>
      <c r="N39" s="1" t="s">
        <v>50</v>
      </c>
      <c r="O39" s="1" t="s">
        <v>48</v>
      </c>
      <c r="P39" s="1" t="s">
        <v>41</v>
      </c>
      <c r="Q39" s="1" t="s">
        <v>41</v>
      </c>
      <c r="R39" s="1" t="s">
        <v>46</v>
      </c>
      <c r="S39" s="1" t="s">
        <v>44</v>
      </c>
      <c r="T39" s="1" t="s">
        <v>53</v>
      </c>
      <c r="V39" s="10" t="s">
        <v>29</v>
      </c>
      <c r="W39" s="32" t="s">
        <v>20</v>
      </c>
    </row>
    <row r="40" spans="1:23" ht="15" thickBot="1" x14ac:dyDescent="0.25">
      <c r="A40" s="2">
        <v>38</v>
      </c>
      <c r="B40" s="1" t="s">
        <v>40</v>
      </c>
      <c r="C40" s="1" t="s">
        <v>42</v>
      </c>
      <c r="D40" s="1" t="s">
        <v>41</v>
      </c>
      <c r="E40" s="1" t="s">
        <v>42</v>
      </c>
      <c r="F40" s="1" t="s">
        <v>42</v>
      </c>
      <c r="G40" s="1" t="s">
        <v>44</v>
      </c>
      <c r="H40" s="1" t="s">
        <v>41</v>
      </c>
      <c r="I40" s="1" t="s">
        <v>48</v>
      </c>
      <c r="J40" s="1" t="s">
        <v>41</v>
      </c>
      <c r="K40" s="1" t="s">
        <v>43</v>
      </c>
      <c r="L40" s="1" t="s">
        <v>49</v>
      </c>
      <c r="M40" s="1" t="s">
        <v>41</v>
      </c>
      <c r="N40" s="1" t="s">
        <v>50</v>
      </c>
      <c r="O40" s="1" t="s">
        <v>48</v>
      </c>
      <c r="P40" s="1" t="s">
        <v>41</v>
      </c>
      <c r="Q40" s="1" t="s">
        <v>41</v>
      </c>
      <c r="R40" s="1" t="s">
        <v>44</v>
      </c>
      <c r="S40" s="1" t="s">
        <v>46</v>
      </c>
      <c r="T40" s="1" t="s">
        <v>52</v>
      </c>
      <c r="V40" s="8" t="s">
        <v>33</v>
      </c>
      <c r="W40" s="32" t="s">
        <v>20</v>
      </c>
    </row>
    <row r="41" spans="1:23" x14ac:dyDescent="0.2">
      <c r="A41" s="2">
        <v>39</v>
      </c>
      <c r="B41" s="1" t="s">
        <v>40</v>
      </c>
      <c r="C41" s="1" t="s">
        <v>42</v>
      </c>
      <c r="D41" s="1" t="s">
        <v>41</v>
      </c>
      <c r="E41" s="1" t="s">
        <v>42</v>
      </c>
      <c r="F41" s="1" t="s">
        <v>42</v>
      </c>
      <c r="G41" s="1" t="s">
        <v>46</v>
      </c>
      <c r="H41" s="1" t="s">
        <v>41</v>
      </c>
      <c r="I41" s="1" t="s">
        <v>48</v>
      </c>
      <c r="J41" s="1" t="s">
        <v>41</v>
      </c>
      <c r="K41" s="1" t="s">
        <v>43</v>
      </c>
      <c r="L41" s="1" t="s">
        <v>49</v>
      </c>
      <c r="M41" s="1" t="s">
        <v>41</v>
      </c>
      <c r="N41" s="1" t="s">
        <v>50</v>
      </c>
      <c r="O41" s="1" t="s">
        <v>48</v>
      </c>
      <c r="P41" s="1" t="s">
        <v>41</v>
      </c>
      <c r="Q41" s="1" t="s">
        <v>41</v>
      </c>
      <c r="R41" s="1" t="s">
        <v>44</v>
      </c>
      <c r="S41" s="1" t="s">
        <v>46</v>
      </c>
      <c r="T41" s="1" t="s">
        <v>52</v>
      </c>
      <c r="V41" s="8" t="s">
        <v>32</v>
      </c>
      <c r="W41" s="32" t="s">
        <v>20</v>
      </c>
    </row>
    <row r="42" spans="1:23" x14ac:dyDescent="0.2">
      <c r="A42" s="2">
        <v>40</v>
      </c>
      <c r="B42" s="1" t="s">
        <v>40</v>
      </c>
      <c r="C42" s="1" t="s">
        <v>42</v>
      </c>
      <c r="D42" s="1" t="s">
        <v>41</v>
      </c>
      <c r="E42" s="1" t="s">
        <v>42</v>
      </c>
      <c r="F42" s="1" t="s">
        <v>42</v>
      </c>
      <c r="G42" s="1" t="s">
        <v>45</v>
      </c>
      <c r="H42" s="1" t="s">
        <v>41</v>
      </c>
      <c r="I42" s="1" t="s">
        <v>48</v>
      </c>
      <c r="J42" s="1" t="s">
        <v>41</v>
      </c>
      <c r="K42" s="1" t="s">
        <v>43</v>
      </c>
      <c r="L42" s="1" t="s">
        <v>49</v>
      </c>
      <c r="M42" s="1" t="s">
        <v>41</v>
      </c>
      <c r="N42" s="1" t="s">
        <v>50</v>
      </c>
      <c r="O42" s="1" t="s">
        <v>48</v>
      </c>
      <c r="P42" s="1" t="s">
        <v>41</v>
      </c>
      <c r="Q42" s="1" t="s">
        <v>41</v>
      </c>
      <c r="R42" s="1" t="s">
        <v>44</v>
      </c>
      <c r="S42" s="1" t="s">
        <v>44</v>
      </c>
      <c r="T42" s="1" t="s">
        <v>52</v>
      </c>
    </row>
    <row r="43" spans="1:23" x14ac:dyDescent="0.2">
      <c r="A43" s="2">
        <v>41</v>
      </c>
      <c r="B43" s="1" t="s">
        <v>40</v>
      </c>
      <c r="C43" s="1" t="s">
        <v>42</v>
      </c>
      <c r="D43" s="1" t="s">
        <v>41</v>
      </c>
      <c r="E43" s="1" t="s">
        <v>42</v>
      </c>
      <c r="F43" s="1" t="s">
        <v>42</v>
      </c>
      <c r="G43" s="1" t="s">
        <v>46</v>
      </c>
      <c r="H43" s="1" t="s">
        <v>41</v>
      </c>
      <c r="I43" s="1" t="s">
        <v>48</v>
      </c>
      <c r="J43" s="1" t="s">
        <v>41</v>
      </c>
      <c r="K43" s="1" t="s">
        <v>43</v>
      </c>
      <c r="L43" s="1" t="s">
        <v>49</v>
      </c>
      <c r="M43" s="1" t="s">
        <v>41</v>
      </c>
      <c r="N43" s="1" t="s">
        <v>50</v>
      </c>
      <c r="O43" s="1" t="s">
        <v>48</v>
      </c>
      <c r="P43" s="1" t="s">
        <v>41</v>
      </c>
      <c r="Q43" s="1" t="s">
        <v>48</v>
      </c>
      <c r="R43" s="1" t="s">
        <v>44</v>
      </c>
      <c r="S43" s="1" t="s">
        <v>44</v>
      </c>
      <c r="T43" s="1" t="s">
        <v>52</v>
      </c>
    </row>
    <row r="44" spans="1:23" x14ac:dyDescent="0.2">
      <c r="A44" s="2">
        <v>42</v>
      </c>
      <c r="B44" s="1" t="s">
        <v>40</v>
      </c>
      <c r="C44" s="1" t="s">
        <v>42</v>
      </c>
      <c r="D44" s="1" t="s">
        <v>41</v>
      </c>
      <c r="E44" s="1" t="s">
        <v>42</v>
      </c>
      <c r="F44" s="1" t="s">
        <v>42</v>
      </c>
      <c r="G44" s="1" t="s">
        <v>44</v>
      </c>
      <c r="H44" s="1" t="s">
        <v>41</v>
      </c>
      <c r="I44" s="1" t="s">
        <v>48</v>
      </c>
      <c r="J44" s="1" t="s">
        <v>41</v>
      </c>
      <c r="K44" s="1" t="s">
        <v>43</v>
      </c>
      <c r="L44" s="1" t="s">
        <v>49</v>
      </c>
      <c r="M44" s="1" t="s">
        <v>41</v>
      </c>
      <c r="N44" s="1" t="s">
        <v>50</v>
      </c>
      <c r="O44" s="1" t="s">
        <v>48</v>
      </c>
      <c r="P44" s="1" t="s">
        <v>41</v>
      </c>
      <c r="Q44" s="1" t="s">
        <v>41</v>
      </c>
      <c r="R44" s="1" t="s">
        <v>46</v>
      </c>
      <c r="S44" s="1" t="s">
        <v>45</v>
      </c>
      <c r="T44" s="1" t="s">
        <v>52</v>
      </c>
    </row>
    <row r="45" spans="1:23" x14ac:dyDescent="0.2">
      <c r="A45" s="2">
        <v>43</v>
      </c>
      <c r="B45" s="1" t="s">
        <v>40</v>
      </c>
      <c r="C45" s="1" t="s">
        <v>42</v>
      </c>
      <c r="D45" s="1" t="s">
        <v>41</v>
      </c>
      <c r="E45" s="1" t="s">
        <v>42</v>
      </c>
      <c r="F45" s="1" t="s">
        <v>42</v>
      </c>
      <c r="G45" s="1" t="s">
        <v>44</v>
      </c>
      <c r="H45" s="1" t="s">
        <v>41</v>
      </c>
      <c r="I45" s="1" t="s">
        <v>48</v>
      </c>
      <c r="J45" s="1" t="s">
        <v>41</v>
      </c>
      <c r="K45" s="1" t="s">
        <v>43</v>
      </c>
      <c r="L45" s="1" t="s">
        <v>49</v>
      </c>
      <c r="M45" s="1" t="s">
        <v>41</v>
      </c>
      <c r="N45" s="1" t="s">
        <v>50</v>
      </c>
      <c r="O45" s="1" t="s">
        <v>48</v>
      </c>
      <c r="P45" s="1" t="s">
        <v>41</v>
      </c>
      <c r="Q45" s="1" t="s">
        <v>48</v>
      </c>
      <c r="R45" s="1" t="s">
        <v>45</v>
      </c>
      <c r="S45" s="1" t="s">
        <v>44</v>
      </c>
      <c r="T45" s="1" t="s">
        <v>53</v>
      </c>
    </row>
    <row r="46" spans="1:23" x14ac:dyDescent="0.2">
      <c r="A46" s="2">
        <v>44</v>
      </c>
      <c r="B46" s="1" t="s">
        <v>40</v>
      </c>
      <c r="C46" s="1" t="s">
        <v>42</v>
      </c>
      <c r="D46" s="1" t="s">
        <v>41</v>
      </c>
      <c r="E46" s="1" t="s">
        <v>42</v>
      </c>
      <c r="F46" s="1" t="s">
        <v>42</v>
      </c>
      <c r="G46" s="1" t="s">
        <v>46</v>
      </c>
      <c r="H46" s="1" t="s">
        <v>41</v>
      </c>
      <c r="I46" s="1" t="s">
        <v>48</v>
      </c>
      <c r="J46" s="1" t="s">
        <v>41</v>
      </c>
      <c r="K46" s="1" t="s">
        <v>43</v>
      </c>
      <c r="L46" s="1" t="s">
        <v>49</v>
      </c>
      <c r="M46" s="1" t="s">
        <v>41</v>
      </c>
      <c r="N46" s="1" t="s">
        <v>50</v>
      </c>
      <c r="O46" s="1" t="s">
        <v>48</v>
      </c>
      <c r="P46" s="1" t="s">
        <v>41</v>
      </c>
      <c r="Q46" s="1" t="s">
        <v>41</v>
      </c>
      <c r="R46" s="1" t="s">
        <v>45</v>
      </c>
      <c r="S46" s="1" t="s">
        <v>44</v>
      </c>
      <c r="T46" s="1" t="s">
        <v>52</v>
      </c>
    </row>
    <row r="47" spans="1:23" x14ac:dyDescent="0.2">
      <c r="A47" s="78" t="s">
        <v>56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</row>
  </sheetData>
  <mergeCells count="2">
    <mergeCell ref="A1:T1"/>
    <mergeCell ref="A47:T47"/>
  </mergeCells>
  <phoneticPr fontId="5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BFEC-68D9-4B0D-8ED6-5EA182E8BCC2}">
  <dimension ref="A1:AE53"/>
  <sheetViews>
    <sheetView zoomScale="97" zoomScaleNormal="9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41" sqref="V41"/>
    </sheetView>
  </sheetViews>
  <sheetFormatPr defaultRowHeight="14.25" x14ac:dyDescent="0.2"/>
  <cols>
    <col min="1" max="1" width="4" bestFit="1" customWidth="1"/>
    <col min="25" max="25" width="3.5" bestFit="1" customWidth="1"/>
    <col min="26" max="31" width="3.5" customWidth="1"/>
  </cols>
  <sheetData>
    <row r="1" spans="1:31" ht="15" thickBot="1" x14ac:dyDescent="0.25">
      <c r="A1" s="33" t="s">
        <v>99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32" t="s">
        <v>20</v>
      </c>
      <c r="Y1" t="s">
        <v>108</v>
      </c>
      <c r="Z1" t="s">
        <v>112</v>
      </c>
      <c r="AA1" t="s">
        <v>113</v>
      </c>
      <c r="AB1" t="s">
        <v>114</v>
      </c>
      <c r="AC1" t="s">
        <v>116</v>
      </c>
      <c r="AD1" t="s">
        <v>115</v>
      </c>
      <c r="AE1" t="s">
        <v>117</v>
      </c>
    </row>
    <row r="2" spans="1:31" ht="15" hidden="1" thickBot="1" x14ac:dyDescent="0.25">
      <c r="A2" s="34"/>
      <c r="B2" s="14" t="s">
        <v>105</v>
      </c>
      <c r="C2" s="12" t="s">
        <v>100</v>
      </c>
      <c r="D2" s="12" t="s">
        <v>101</v>
      </c>
      <c r="E2" s="12" t="s">
        <v>100</v>
      </c>
      <c r="F2" s="14" t="s">
        <v>102</v>
      </c>
      <c r="G2" s="12" t="s">
        <v>100</v>
      </c>
      <c r="H2" s="14" t="s">
        <v>103</v>
      </c>
      <c r="I2" s="12" t="s">
        <v>104</v>
      </c>
      <c r="J2" s="12" t="s">
        <v>102</v>
      </c>
      <c r="K2" s="12" t="s">
        <v>100</v>
      </c>
      <c r="L2" s="12" t="s">
        <v>104</v>
      </c>
      <c r="M2" s="12" t="s">
        <v>104</v>
      </c>
      <c r="N2" s="12" t="s">
        <v>100</v>
      </c>
      <c r="O2" s="14" t="s">
        <v>101</v>
      </c>
      <c r="P2" s="12" t="s">
        <v>100</v>
      </c>
      <c r="Q2" s="12" t="s">
        <v>100</v>
      </c>
      <c r="R2" s="12" t="s">
        <v>100</v>
      </c>
      <c r="S2" s="14" t="s">
        <v>103</v>
      </c>
      <c r="T2" s="14" t="s">
        <v>103</v>
      </c>
      <c r="U2" s="35" t="s">
        <v>104</v>
      </c>
      <c r="W2" s="1" t="s">
        <v>21</v>
      </c>
      <c r="X2" s="18" t="s">
        <v>2</v>
      </c>
      <c r="Y2">
        <v>42</v>
      </c>
      <c r="Z2">
        <f t="shared" ref="Z2:Z16" si="0">IF(Y2&gt;1,1,0)</f>
        <v>1</v>
      </c>
      <c r="AA2">
        <f t="shared" ref="AA2:AA16" si="1">IF(Y2&gt;2,1,0)</f>
        <v>1</v>
      </c>
      <c r="AB2">
        <f t="shared" ref="AB2:AB16" si="2">IF(Y2&gt;3,1,0)</f>
        <v>1</v>
      </c>
      <c r="AC2">
        <f t="shared" ref="AC2:AC16" si="3">IF(Y2&gt;4,1,0)</f>
        <v>1</v>
      </c>
      <c r="AD2">
        <f t="shared" ref="AD2:AD16" si="4">IF(Y2&gt;5,1,0)</f>
        <v>1</v>
      </c>
      <c r="AE2">
        <f t="shared" ref="AE2:AE16" si="5">IF(Y2&gt;10,1,0)</f>
        <v>1</v>
      </c>
    </row>
    <row r="3" spans="1:31" ht="15" hidden="1" thickBot="1" x14ac:dyDescent="0.25">
      <c r="A3" s="34">
        <v>1</v>
      </c>
      <c r="B3" s="14"/>
      <c r="C3" s="1" t="s">
        <v>21</v>
      </c>
      <c r="D3" s="1" t="s">
        <v>22</v>
      </c>
      <c r="E3" s="1" t="s">
        <v>23</v>
      </c>
      <c r="F3" s="1" t="s">
        <v>22</v>
      </c>
      <c r="G3" s="1" t="s">
        <v>22</v>
      </c>
      <c r="H3" s="1" t="s">
        <v>24</v>
      </c>
      <c r="I3" s="1" t="s">
        <v>23</v>
      </c>
      <c r="J3" s="1" t="s">
        <v>36</v>
      </c>
      <c r="K3" s="1" t="s">
        <v>23</v>
      </c>
      <c r="L3" s="1" t="s">
        <v>26</v>
      </c>
      <c r="M3" s="1" t="s">
        <v>27</v>
      </c>
      <c r="N3" s="1" t="s">
        <v>23</v>
      </c>
      <c r="O3" s="1" t="s">
        <v>28</v>
      </c>
      <c r="P3" s="1" t="s">
        <v>36</v>
      </c>
      <c r="Q3" s="1" t="s">
        <v>23</v>
      </c>
      <c r="R3" s="1" t="s">
        <v>23</v>
      </c>
      <c r="S3" s="1" t="s">
        <v>24</v>
      </c>
      <c r="T3" s="1" t="s">
        <v>24</v>
      </c>
      <c r="U3" s="1" t="s">
        <v>29</v>
      </c>
      <c r="W3" s="1" t="s">
        <v>23</v>
      </c>
      <c r="X3" s="18" t="s">
        <v>4</v>
      </c>
      <c r="Y3">
        <v>42</v>
      </c>
      <c r="Z3">
        <f t="shared" si="0"/>
        <v>1</v>
      </c>
      <c r="AA3">
        <f t="shared" si="1"/>
        <v>1</v>
      </c>
      <c r="AB3">
        <f t="shared" si="2"/>
        <v>1</v>
      </c>
      <c r="AC3">
        <f t="shared" si="3"/>
        <v>1</v>
      </c>
      <c r="AD3">
        <f t="shared" si="4"/>
        <v>1</v>
      </c>
      <c r="AE3">
        <f t="shared" si="5"/>
        <v>1</v>
      </c>
    </row>
    <row r="4" spans="1:31" ht="15" hidden="1" thickBot="1" x14ac:dyDescent="0.25">
      <c r="A4" s="34">
        <v>2</v>
      </c>
      <c r="B4" s="14"/>
      <c r="C4" s="1" t="s">
        <v>21</v>
      </c>
      <c r="D4" s="1" t="s">
        <v>22</v>
      </c>
      <c r="E4" s="1" t="s">
        <v>23</v>
      </c>
      <c r="F4" s="1" t="s">
        <v>22</v>
      </c>
      <c r="G4" s="1" t="s">
        <v>22</v>
      </c>
      <c r="H4" s="1" t="s">
        <v>24</v>
      </c>
      <c r="I4" s="1" t="s">
        <v>23</v>
      </c>
      <c r="J4" s="1" t="s">
        <v>36</v>
      </c>
      <c r="K4" s="1" t="s">
        <v>23</v>
      </c>
      <c r="L4" s="1" t="s">
        <v>26</v>
      </c>
      <c r="M4" s="1" t="s">
        <v>38</v>
      </c>
      <c r="N4" s="1" t="s">
        <v>23</v>
      </c>
      <c r="O4" s="1" t="s">
        <v>28</v>
      </c>
      <c r="P4" s="1" t="s">
        <v>36</v>
      </c>
      <c r="Q4" s="1" t="s">
        <v>23</v>
      </c>
      <c r="R4" s="1" t="s">
        <v>37</v>
      </c>
      <c r="S4" s="1" t="s">
        <v>24</v>
      </c>
      <c r="T4" s="1" t="s">
        <v>24</v>
      </c>
      <c r="U4" s="1" t="s">
        <v>29</v>
      </c>
      <c r="W4" s="1" t="s">
        <v>23</v>
      </c>
      <c r="X4" s="18" t="s">
        <v>13</v>
      </c>
      <c r="Y4">
        <v>42</v>
      </c>
      <c r="Z4">
        <f t="shared" si="0"/>
        <v>1</v>
      </c>
      <c r="AA4">
        <f t="shared" si="1"/>
        <v>1</v>
      </c>
      <c r="AB4">
        <f t="shared" si="2"/>
        <v>1</v>
      </c>
      <c r="AC4">
        <f t="shared" si="3"/>
        <v>1</v>
      </c>
      <c r="AD4">
        <f t="shared" si="4"/>
        <v>1</v>
      </c>
      <c r="AE4">
        <f t="shared" si="5"/>
        <v>1</v>
      </c>
    </row>
    <row r="5" spans="1:31" ht="15" thickBot="1" x14ac:dyDescent="0.25">
      <c r="A5" s="7">
        <v>3</v>
      </c>
      <c r="B5" s="2" t="s">
        <v>98</v>
      </c>
      <c r="C5" s="79" t="s">
        <v>21</v>
      </c>
      <c r="D5" s="79" t="s">
        <v>22</v>
      </c>
      <c r="E5" s="79" t="s">
        <v>23</v>
      </c>
      <c r="F5" s="1" t="s">
        <v>22</v>
      </c>
      <c r="G5" s="79" t="s">
        <v>22</v>
      </c>
      <c r="H5" s="79" t="s">
        <v>24</v>
      </c>
      <c r="I5" s="79" t="s">
        <v>23</v>
      </c>
      <c r="J5" s="29" t="s">
        <v>25</v>
      </c>
      <c r="K5" s="79" t="s">
        <v>23</v>
      </c>
      <c r="L5" s="79" t="s">
        <v>26</v>
      </c>
      <c r="M5" s="79" t="s">
        <v>30</v>
      </c>
      <c r="N5" s="79" t="s">
        <v>23</v>
      </c>
      <c r="O5" s="79" t="s">
        <v>28</v>
      </c>
      <c r="P5" s="79" t="s">
        <v>25</v>
      </c>
      <c r="Q5" s="79" t="s">
        <v>23</v>
      </c>
      <c r="R5" s="1" t="s">
        <v>23</v>
      </c>
      <c r="S5" s="1" t="s">
        <v>24</v>
      </c>
      <c r="T5" s="36" t="s">
        <v>24</v>
      </c>
      <c r="U5" s="10" t="s">
        <v>29</v>
      </c>
      <c r="W5" s="1" t="s">
        <v>23</v>
      </c>
      <c r="X5" s="18" t="s">
        <v>16</v>
      </c>
      <c r="Y5">
        <v>42</v>
      </c>
      <c r="Z5">
        <f t="shared" si="0"/>
        <v>1</v>
      </c>
      <c r="AA5">
        <f t="shared" si="1"/>
        <v>1</v>
      </c>
      <c r="AB5">
        <f t="shared" si="2"/>
        <v>1</v>
      </c>
      <c r="AC5">
        <f t="shared" si="3"/>
        <v>1</v>
      </c>
      <c r="AD5">
        <f t="shared" si="4"/>
        <v>1</v>
      </c>
      <c r="AE5">
        <f t="shared" si="5"/>
        <v>1</v>
      </c>
    </row>
    <row r="6" spans="1:31" ht="15" thickBot="1" x14ac:dyDescent="0.25">
      <c r="A6" s="7">
        <v>4</v>
      </c>
      <c r="B6" s="2" t="s">
        <v>97</v>
      </c>
      <c r="C6" s="80"/>
      <c r="D6" s="80"/>
      <c r="E6" s="80"/>
      <c r="F6" s="9" t="s">
        <v>26</v>
      </c>
      <c r="G6" s="80"/>
      <c r="H6" s="80"/>
      <c r="I6" s="80"/>
      <c r="J6" s="29" t="s">
        <v>25</v>
      </c>
      <c r="K6" s="80"/>
      <c r="L6" s="80"/>
      <c r="M6" s="80"/>
      <c r="N6" s="80"/>
      <c r="O6" s="80"/>
      <c r="P6" s="80"/>
      <c r="Q6" s="80"/>
      <c r="R6" s="1" t="s">
        <v>23</v>
      </c>
      <c r="S6" s="1" t="s">
        <v>24</v>
      </c>
      <c r="T6" s="37"/>
      <c r="U6" s="10" t="s">
        <v>29</v>
      </c>
      <c r="W6" s="1" t="s">
        <v>23</v>
      </c>
      <c r="X6" s="18" t="s">
        <v>10</v>
      </c>
      <c r="Y6">
        <v>41</v>
      </c>
      <c r="Z6">
        <f t="shared" si="0"/>
        <v>1</v>
      </c>
      <c r="AA6">
        <f t="shared" si="1"/>
        <v>1</v>
      </c>
      <c r="AB6">
        <f t="shared" si="2"/>
        <v>1</v>
      </c>
      <c r="AC6">
        <f t="shared" si="3"/>
        <v>1</v>
      </c>
      <c r="AD6">
        <f t="shared" si="4"/>
        <v>1</v>
      </c>
      <c r="AE6">
        <f t="shared" si="5"/>
        <v>1</v>
      </c>
    </row>
    <row r="7" spans="1:31" ht="15" thickBot="1" x14ac:dyDescent="0.25">
      <c r="A7" s="7">
        <v>5</v>
      </c>
      <c r="B7" s="2" t="s">
        <v>96</v>
      </c>
      <c r="C7" s="80"/>
      <c r="D7" s="80"/>
      <c r="E7" s="80"/>
      <c r="F7" s="1" t="s">
        <v>22</v>
      </c>
      <c r="G7" s="80"/>
      <c r="H7" s="80"/>
      <c r="I7" s="80"/>
      <c r="J7" s="30" t="s">
        <v>30</v>
      </c>
      <c r="K7" s="80"/>
      <c r="L7" s="80"/>
      <c r="M7" s="80"/>
      <c r="N7" s="80"/>
      <c r="O7" s="80"/>
      <c r="P7" s="80"/>
      <c r="Q7" s="80"/>
      <c r="R7" s="1" t="s">
        <v>23</v>
      </c>
      <c r="S7" s="1" t="s">
        <v>24</v>
      </c>
      <c r="T7" s="37"/>
      <c r="U7" s="10" t="s">
        <v>29</v>
      </c>
      <c r="W7" s="25" t="s">
        <v>23</v>
      </c>
      <c r="X7" s="18" t="s">
        <v>6</v>
      </c>
      <c r="Y7">
        <v>3</v>
      </c>
      <c r="Z7">
        <f t="shared" si="0"/>
        <v>1</v>
      </c>
      <c r="AA7">
        <f t="shared" si="1"/>
        <v>1</v>
      </c>
      <c r="AB7">
        <f t="shared" si="2"/>
        <v>0</v>
      </c>
      <c r="AC7">
        <f t="shared" si="3"/>
        <v>0</v>
      </c>
      <c r="AD7">
        <f t="shared" si="4"/>
        <v>0</v>
      </c>
      <c r="AE7">
        <f t="shared" si="5"/>
        <v>0</v>
      </c>
    </row>
    <row r="8" spans="1:31" ht="15" thickBot="1" x14ac:dyDescent="0.25">
      <c r="A8" s="7">
        <v>6</v>
      </c>
      <c r="B8" s="2" t="s">
        <v>95</v>
      </c>
      <c r="C8" s="80"/>
      <c r="D8" s="80"/>
      <c r="E8" s="80"/>
      <c r="F8" s="9" t="s">
        <v>26</v>
      </c>
      <c r="G8" s="80"/>
      <c r="H8" s="80"/>
      <c r="I8" s="80"/>
      <c r="J8" s="29" t="s">
        <v>25</v>
      </c>
      <c r="K8" s="80"/>
      <c r="L8" s="80"/>
      <c r="M8" s="80"/>
      <c r="N8" s="80"/>
      <c r="O8" s="80"/>
      <c r="P8" s="80"/>
      <c r="Q8" s="80"/>
      <c r="R8" s="9" t="s">
        <v>25</v>
      </c>
      <c r="S8" s="1" t="s">
        <v>24</v>
      </c>
      <c r="T8" s="37"/>
      <c r="U8" s="10" t="s">
        <v>29</v>
      </c>
      <c r="W8" s="1" t="s">
        <v>23</v>
      </c>
      <c r="X8" s="18" t="s">
        <v>8</v>
      </c>
      <c r="Y8">
        <v>41</v>
      </c>
      <c r="Z8">
        <f t="shared" si="0"/>
        <v>1</v>
      </c>
      <c r="AA8">
        <f t="shared" si="1"/>
        <v>1</v>
      </c>
      <c r="AB8">
        <f t="shared" si="2"/>
        <v>1</v>
      </c>
      <c r="AC8">
        <f t="shared" si="3"/>
        <v>1</v>
      </c>
      <c r="AD8">
        <f t="shared" si="4"/>
        <v>1</v>
      </c>
      <c r="AE8">
        <f t="shared" si="5"/>
        <v>1</v>
      </c>
    </row>
    <row r="9" spans="1:31" ht="15" thickBot="1" x14ac:dyDescent="0.25">
      <c r="A9" s="7">
        <v>7</v>
      </c>
      <c r="B9" s="2" t="s">
        <v>94</v>
      </c>
      <c r="C9" s="80"/>
      <c r="D9" s="80"/>
      <c r="E9" s="80"/>
      <c r="F9" s="9" t="s">
        <v>26</v>
      </c>
      <c r="G9" s="80"/>
      <c r="H9" s="80"/>
      <c r="I9" s="80"/>
      <c r="J9" s="29" t="s">
        <v>25</v>
      </c>
      <c r="K9" s="80"/>
      <c r="L9" s="80"/>
      <c r="M9" s="80"/>
      <c r="N9" s="80"/>
      <c r="O9" s="80"/>
      <c r="P9" s="80"/>
      <c r="Q9" s="80"/>
      <c r="R9" s="1" t="s">
        <v>23</v>
      </c>
      <c r="S9" s="9" t="s">
        <v>31</v>
      </c>
      <c r="T9" s="37"/>
      <c r="U9" s="10" t="s">
        <v>29</v>
      </c>
      <c r="W9" s="5" t="s">
        <v>23</v>
      </c>
      <c r="X9" s="18" t="s">
        <v>7</v>
      </c>
      <c r="Y9">
        <v>1</v>
      </c>
      <c r="Z9">
        <f t="shared" si="0"/>
        <v>0</v>
      </c>
      <c r="AA9">
        <f t="shared" si="1"/>
        <v>0</v>
      </c>
      <c r="AB9">
        <f t="shared" si="2"/>
        <v>0</v>
      </c>
      <c r="AC9">
        <f t="shared" si="3"/>
        <v>0</v>
      </c>
      <c r="AD9">
        <f t="shared" si="4"/>
        <v>0</v>
      </c>
      <c r="AE9">
        <f t="shared" si="5"/>
        <v>0</v>
      </c>
    </row>
    <row r="10" spans="1:31" ht="15" thickBot="1" x14ac:dyDescent="0.25">
      <c r="A10" s="7">
        <v>8</v>
      </c>
      <c r="B10" s="23" t="s">
        <v>93</v>
      </c>
      <c r="C10" s="80"/>
      <c r="D10" s="80"/>
      <c r="E10" s="80"/>
      <c r="F10" s="9" t="s">
        <v>26</v>
      </c>
      <c r="G10" s="80"/>
      <c r="H10" s="81"/>
      <c r="I10" s="81"/>
      <c r="J10" s="29" t="s">
        <v>25</v>
      </c>
      <c r="K10" s="80"/>
      <c r="L10" s="80"/>
      <c r="M10" s="81"/>
      <c r="N10" s="80"/>
      <c r="O10" s="80"/>
      <c r="P10" s="80"/>
      <c r="Q10" s="80"/>
      <c r="R10" s="1" t="s">
        <v>23</v>
      </c>
      <c r="S10" s="21" t="s">
        <v>24</v>
      </c>
      <c r="T10" s="37"/>
      <c r="U10" s="8" t="s">
        <v>32</v>
      </c>
      <c r="W10" s="1" t="s">
        <v>23</v>
      </c>
      <c r="X10" s="18" t="s">
        <v>17</v>
      </c>
      <c r="Y10">
        <v>26</v>
      </c>
      <c r="Z10">
        <f t="shared" si="0"/>
        <v>1</v>
      </c>
      <c r="AA10">
        <f t="shared" si="1"/>
        <v>1</v>
      </c>
      <c r="AB10">
        <f t="shared" si="2"/>
        <v>1</v>
      </c>
      <c r="AC10">
        <f t="shared" si="3"/>
        <v>1</v>
      </c>
      <c r="AD10">
        <f t="shared" si="4"/>
        <v>1</v>
      </c>
      <c r="AE10">
        <f t="shared" si="5"/>
        <v>1</v>
      </c>
    </row>
    <row r="11" spans="1:31" ht="15" thickBot="1" x14ac:dyDescent="0.25">
      <c r="A11" s="7">
        <v>9</v>
      </c>
      <c r="B11" s="18" t="s">
        <v>92</v>
      </c>
      <c r="C11" s="80"/>
      <c r="D11" s="80"/>
      <c r="E11" s="80"/>
      <c r="F11" s="17" t="s">
        <v>22</v>
      </c>
      <c r="G11" s="80"/>
      <c r="H11" s="17" t="s">
        <v>24</v>
      </c>
      <c r="I11" s="17" t="s">
        <v>23</v>
      </c>
      <c r="J11" s="31" t="s">
        <v>25</v>
      </c>
      <c r="K11" s="80"/>
      <c r="L11" s="80"/>
      <c r="M11" s="17" t="s">
        <v>30</v>
      </c>
      <c r="N11" s="80"/>
      <c r="O11" s="80"/>
      <c r="P11" s="80"/>
      <c r="Q11" s="80"/>
      <c r="R11" s="17" t="s">
        <v>25</v>
      </c>
      <c r="S11" s="17" t="s">
        <v>24</v>
      </c>
      <c r="T11" s="37"/>
      <c r="U11" s="15" t="s">
        <v>29</v>
      </c>
      <c r="W11" s="1" t="s">
        <v>22</v>
      </c>
      <c r="X11" s="18" t="s">
        <v>3</v>
      </c>
      <c r="Y11">
        <v>40</v>
      </c>
      <c r="Z11">
        <f t="shared" si="0"/>
        <v>1</v>
      </c>
      <c r="AA11">
        <f t="shared" si="1"/>
        <v>1</v>
      </c>
      <c r="AB11">
        <f t="shared" si="2"/>
        <v>1</v>
      </c>
      <c r="AC11">
        <f t="shared" si="3"/>
        <v>1</v>
      </c>
      <c r="AD11">
        <f t="shared" si="4"/>
        <v>1</v>
      </c>
      <c r="AE11">
        <f t="shared" si="5"/>
        <v>1</v>
      </c>
    </row>
    <row r="12" spans="1:31" ht="15" thickBot="1" x14ac:dyDescent="0.25">
      <c r="A12" s="7">
        <v>10</v>
      </c>
      <c r="B12" s="2" t="s">
        <v>91</v>
      </c>
      <c r="C12" s="80"/>
      <c r="D12" s="80"/>
      <c r="E12" s="80"/>
      <c r="F12" s="1" t="s">
        <v>22</v>
      </c>
      <c r="G12" s="80"/>
      <c r="H12" s="1" t="s">
        <v>24</v>
      </c>
      <c r="I12" s="1" t="s">
        <v>23</v>
      </c>
      <c r="J12" s="29" t="s">
        <v>25</v>
      </c>
      <c r="K12" s="80"/>
      <c r="L12" s="80"/>
      <c r="M12" s="1" t="s">
        <v>30</v>
      </c>
      <c r="N12" s="80"/>
      <c r="O12" s="80"/>
      <c r="P12" s="80"/>
      <c r="Q12" s="80"/>
      <c r="R12" s="1" t="s">
        <v>23</v>
      </c>
      <c r="S12" s="9" t="s">
        <v>31</v>
      </c>
      <c r="T12" s="37"/>
      <c r="U12" s="10" t="s">
        <v>29</v>
      </c>
      <c r="W12" s="9" t="s">
        <v>22</v>
      </c>
      <c r="X12" s="18" t="s">
        <v>15</v>
      </c>
      <c r="Y12">
        <v>1</v>
      </c>
      <c r="Z12">
        <f t="shared" si="0"/>
        <v>0</v>
      </c>
      <c r="AA12">
        <f t="shared" si="1"/>
        <v>0</v>
      </c>
      <c r="AB12">
        <f t="shared" si="2"/>
        <v>0</v>
      </c>
      <c r="AC12">
        <f t="shared" si="3"/>
        <v>0</v>
      </c>
      <c r="AD12">
        <f t="shared" si="4"/>
        <v>0</v>
      </c>
      <c r="AE12">
        <f t="shared" si="5"/>
        <v>0</v>
      </c>
    </row>
    <row r="13" spans="1:31" ht="15" thickBot="1" x14ac:dyDescent="0.25">
      <c r="A13" s="7">
        <v>11</v>
      </c>
      <c r="B13" s="2" t="s">
        <v>90</v>
      </c>
      <c r="C13" s="80"/>
      <c r="D13" s="80"/>
      <c r="E13" s="80"/>
      <c r="F13" s="1" t="s">
        <v>22</v>
      </c>
      <c r="G13" s="80"/>
      <c r="H13" s="1" t="s">
        <v>24</v>
      </c>
      <c r="I13" s="1" t="s">
        <v>23</v>
      </c>
      <c r="J13" s="29" t="s">
        <v>25</v>
      </c>
      <c r="K13" s="80"/>
      <c r="L13" s="80"/>
      <c r="M13" s="1" t="s">
        <v>30</v>
      </c>
      <c r="N13" s="80"/>
      <c r="O13" s="80"/>
      <c r="P13" s="80"/>
      <c r="Q13" s="80"/>
      <c r="R13" s="9" t="s">
        <v>25</v>
      </c>
      <c r="S13" s="1" t="s">
        <v>24</v>
      </c>
      <c r="T13" s="37"/>
      <c r="U13" s="8" t="s">
        <v>33</v>
      </c>
      <c r="W13" s="1" t="s">
        <v>22</v>
      </c>
      <c r="X13" s="18" t="s">
        <v>6</v>
      </c>
      <c r="Y13">
        <v>39</v>
      </c>
      <c r="Z13">
        <f t="shared" si="0"/>
        <v>1</v>
      </c>
      <c r="AA13">
        <f t="shared" si="1"/>
        <v>1</v>
      </c>
      <c r="AB13">
        <f t="shared" si="2"/>
        <v>1</v>
      </c>
      <c r="AC13">
        <f t="shared" si="3"/>
        <v>1</v>
      </c>
      <c r="AD13">
        <f t="shared" si="4"/>
        <v>1</v>
      </c>
      <c r="AE13">
        <f t="shared" si="5"/>
        <v>1</v>
      </c>
    </row>
    <row r="14" spans="1:31" ht="15" thickBot="1" x14ac:dyDescent="0.25">
      <c r="A14" s="7">
        <v>12</v>
      </c>
      <c r="B14" s="2" t="s">
        <v>89</v>
      </c>
      <c r="C14" s="80"/>
      <c r="D14" s="80"/>
      <c r="E14" s="80"/>
      <c r="F14" s="1" t="s">
        <v>22</v>
      </c>
      <c r="G14" s="80"/>
      <c r="H14" s="1" t="s">
        <v>24</v>
      </c>
      <c r="I14" s="1" t="s">
        <v>23</v>
      </c>
      <c r="J14" s="30" t="s">
        <v>30</v>
      </c>
      <c r="K14" s="80"/>
      <c r="L14" s="80"/>
      <c r="M14" s="1" t="s">
        <v>30</v>
      </c>
      <c r="N14" s="80"/>
      <c r="O14" s="80"/>
      <c r="P14" s="80"/>
      <c r="Q14" s="80"/>
      <c r="R14" s="9" t="s">
        <v>25</v>
      </c>
      <c r="S14" s="1" t="s">
        <v>24</v>
      </c>
      <c r="T14" s="37"/>
      <c r="U14" s="10" t="s">
        <v>29</v>
      </c>
      <c r="W14" s="9" t="s">
        <v>22</v>
      </c>
      <c r="X14" s="18" t="s">
        <v>10</v>
      </c>
      <c r="Y14">
        <v>1</v>
      </c>
      <c r="Z14">
        <f t="shared" si="0"/>
        <v>0</v>
      </c>
      <c r="AA14">
        <f t="shared" si="1"/>
        <v>0</v>
      </c>
      <c r="AB14">
        <f t="shared" si="2"/>
        <v>0</v>
      </c>
      <c r="AC14">
        <f t="shared" si="3"/>
        <v>0</v>
      </c>
      <c r="AD14">
        <f t="shared" si="4"/>
        <v>0</v>
      </c>
      <c r="AE14">
        <f t="shared" si="5"/>
        <v>0</v>
      </c>
    </row>
    <row r="15" spans="1:31" ht="15" thickBot="1" x14ac:dyDescent="0.25">
      <c r="A15" s="7">
        <v>13</v>
      </c>
      <c r="B15" s="2" t="s">
        <v>88</v>
      </c>
      <c r="C15" s="80"/>
      <c r="D15" s="80"/>
      <c r="E15" s="80"/>
      <c r="F15" s="9" t="s">
        <v>26</v>
      </c>
      <c r="G15" s="80"/>
      <c r="H15" s="1" t="s">
        <v>24</v>
      </c>
      <c r="I15" s="1" t="s">
        <v>23</v>
      </c>
      <c r="J15" s="29" t="s">
        <v>25</v>
      </c>
      <c r="K15" s="80"/>
      <c r="L15" s="80"/>
      <c r="M15" s="1" t="s">
        <v>30</v>
      </c>
      <c r="N15" s="80"/>
      <c r="O15" s="80"/>
      <c r="P15" s="80"/>
      <c r="Q15" s="80"/>
      <c r="R15" s="9" t="s">
        <v>25</v>
      </c>
      <c r="S15" s="1" t="s">
        <v>24</v>
      </c>
      <c r="T15" s="37"/>
      <c r="U15" s="8" t="s">
        <v>32</v>
      </c>
      <c r="W15" s="1" t="s">
        <v>22</v>
      </c>
      <c r="X15" s="18" t="s">
        <v>5</v>
      </c>
      <c r="Y15">
        <v>37</v>
      </c>
      <c r="Z15">
        <f t="shared" si="0"/>
        <v>1</v>
      </c>
      <c r="AA15">
        <f t="shared" si="1"/>
        <v>1</v>
      </c>
      <c r="AB15">
        <f t="shared" si="2"/>
        <v>1</v>
      </c>
      <c r="AC15">
        <f t="shared" si="3"/>
        <v>1</v>
      </c>
      <c r="AD15">
        <f t="shared" si="4"/>
        <v>1</v>
      </c>
      <c r="AE15">
        <f t="shared" si="5"/>
        <v>1</v>
      </c>
    </row>
    <row r="16" spans="1:31" ht="15" thickBot="1" x14ac:dyDescent="0.25">
      <c r="A16" s="7">
        <v>14</v>
      </c>
      <c r="B16" s="6" t="s">
        <v>87</v>
      </c>
      <c r="C16" s="80"/>
      <c r="D16" s="80"/>
      <c r="E16" s="80"/>
      <c r="F16" s="4" t="s">
        <v>22</v>
      </c>
      <c r="G16" s="81"/>
      <c r="H16" s="43" t="s">
        <v>23</v>
      </c>
      <c r="I16" s="41" t="s">
        <v>24</v>
      </c>
      <c r="J16" s="28" t="s">
        <v>25</v>
      </c>
      <c r="K16" s="80"/>
      <c r="L16" s="80"/>
      <c r="M16" s="41" t="s">
        <v>25</v>
      </c>
      <c r="N16" s="80"/>
      <c r="O16" s="80"/>
      <c r="P16" s="80"/>
      <c r="Q16" s="80"/>
      <c r="R16" s="4" t="s">
        <v>23</v>
      </c>
      <c r="S16" s="4" t="s">
        <v>24</v>
      </c>
      <c r="T16" s="37"/>
      <c r="U16" s="3" t="s">
        <v>29</v>
      </c>
      <c r="W16" s="1" t="s">
        <v>24</v>
      </c>
      <c r="X16" s="18" t="s">
        <v>7</v>
      </c>
      <c r="Y16">
        <v>30</v>
      </c>
      <c r="Z16">
        <f t="shared" si="0"/>
        <v>1</v>
      </c>
      <c r="AA16">
        <f t="shared" si="1"/>
        <v>1</v>
      </c>
      <c r="AB16">
        <f t="shared" si="2"/>
        <v>1</v>
      </c>
      <c r="AC16">
        <f t="shared" si="3"/>
        <v>1</v>
      </c>
      <c r="AD16">
        <f t="shared" si="4"/>
        <v>1</v>
      </c>
      <c r="AE16">
        <f t="shared" si="5"/>
        <v>1</v>
      </c>
    </row>
    <row r="17" spans="1:31" ht="15" thickBot="1" x14ac:dyDescent="0.25">
      <c r="A17" s="7">
        <v>15</v>
      </c>
      <c r="B17" s="14" t="s">
        <v>86</v>
      </c>
      <c r="C17" s="80"/>
      <c r="D17" s="80"/>
      <c r="E17" s="80"/>
      <c r="F17" s="82" t="s">
        <v>22</v>
      </c>
      <c r="G17" s="27" t="s">
        <v>22</v>
      </c>
      <c r="H17" s="12" t="s">
        <v>24</v>
      </c>
      <c r="I17" s="85" t="s">
        <v>23</v>
      </c>
      <c r="J17" s="85" t="s">
        <v>25</v>
      </c>
      <c r="K17" s="80"/>
      <c r="L17" s="80"/>
      <c r="M17" s="82" t="s">
        <v>30</v>
      </c>
      <c r="N17" s="80"/>
      <c r="O17" s="80"/>
      <c r="P17" s="80"/>
      <c r="Q17" s="80"/>
      <c r="R17" s="12" t="s">
        <v>23</v>
      </c>
      <c r="S17" s="12" t="s">
        <v>24</v>
      </c>
      <c r="T17" s="37"/>
      <c r="U17" s="26" t="s">
        <v>32</v>
      </c>
      <c r="W17" s="1"/>
      <c r="X17" s="18"/>
    </row>
    <row r="18" spans="1:31" ht="15" thickBot="1" x14ac:dyDescent="0.25">
      <c r="A18" s="7">
        <v>16</v>
      </c>
      <c r="B18" s="2" t="s">
        <v>85</v>
      </c>
      <c r="C18" s="80"/>
      <c r="D18" s="80"/>
      <c r="E18" s="80"/>
      <c r="F18" s="80"/>
      <c r="G18" s="25" t="s">
        <v>23</v>
      </c>
      <c r="H18" s="1" t="s">
        <v>24</v>
      </c>
      <c r="I18" s="86"/>
      <c r="J18" s="86"/>
      <c r="K18" s="80"/>
      <c r="L18" s="80"/>
      <c r="M18" s="80"/>
      <c r="N18" s="80"/>
      <c r="O18" s="80"/>
      <c r="P18" s="80"/>
      <c r="Q18" s="80"/>
      <c r="R18" s="1" t="s">
        <v>23</v>
      </c>
      <c r="S18" s="1" t="s">
        <v>24</v>
      </c>
      <c r="T18" s="37"/>
      <c r="U18" s="10" t="s">
        <v>29</v>
      </c>
      <c r="W18" s="9" t="s">
        <v>25</v>
      </c>
      <c r="X18" s="18" t="s">
        <v>3</v>
      </c>
      <c r="Y18">
        <v>2</v>
      </c>
      <c r="Z18">
        <f t="shared" ref="Z18:Z39" si="6">IF(Y18&gt;1,1,0)</f>
        <v>1</v>
      </c>
      <c r="AA18">
        <f t="shared" ref="AA18:AA39" si="7">IF(Y18&gt;2,1,0)</f>
        <v>0</v>
      </c>
      <c r="AB18">
        <f t="shared" ref="AB18:AB39" si="8">IF(Y18&gt;3,1,0)</f>
        <v>0</v>
      </c>
      <c r="AC18">
        <f t="shared" ref="AC18:AC39" si="9">IF(Y18&gt;4,1,0)</f>
        <v>0</v>
      </c>
      <c r="AD18">
        <f t="shared" ref="AD18:AD39" si="10">IF(Y18&gt;5,1,0)</f>
        <v>0</v>
      </c>
      <c r="AE18">
        <f t="shared" ref="AE18:AE39" si="11">IF(Y18&gt;10,1,0)</f>
        <v>0</v>
      </c>
    </row>
    <row r="19" spans="1:31" ht="15" thickBot="1" x14ac:dyDescent="0.25">
      <c r="A19" s="7">
        <v>17</v>
      </c>
      <c r="B19" s="2" t="s">
        <v>84</v>
      </c>
      <c r="C19" s="80"/>
      <c r="D19" s="80"/>
      <c r="E19" s="80"/>
      <c r="F19" s="80"/>
      <c r="G19" s="25" t="s">
        <v>23</v>
      </c>
      <c r="H19" s="1" t="s">
        <v>24</v>
      </c>
      <c r="I19" s="86"/>
      <c r="J19" s="86"/>
      <c r="K19" s="80"/>
      <c r="L19" s="80"/>
      <c r="M19" s="80"/>
      <c r="N19" s="80"/>
      <c r="O19" s="80"/>
      <c r="P19" s="80"/>
      <c r="Q19" s="80"/>
      <c r="R19" s="9" t="s">
        <v>25</v>
      </c>
      <c r="S19" s="1" t="s">
        <v>24</v>
      </c>
      <c r="T19" s="37"/>
      <c r="U19" s="10" t="s">
        <v>29</v>
      </c>
      <c r="W19" s="9" t="s">
        <v>26</v>
      </c>
      <c r="X19" s="18" t="s">
        <v>5</v>
      </c>
      <c r="Y19">
        <v>5</v>
      </c>
      <c r="Z19">
        <f t="shared" si="6"/>
        <v>1</v>
      </c>
      <c r="AA19">
        <f t="shared" si="7"/>
        <v>1</v>
      </c>
      <c r="AB19">
        <f t="shared" si="8"/>
        <v>1</v>
      </c>
      <c r="AC19">
        <f t="shared" si="9"/>
        <v>1</v>
      </c>
      <c r="AD19">
        <f t="shared" si="10"/>
        <v>0</v>
      </c>
      <c r="AE19">
        <f t="shared" si="11"/>
        <v>0</v>
      </c>
    </row>
    <row r="20" spans="1:31" ht="15" thickBot="1" x14ac:dyDescent="0.25">
      <c r="A20" s="7">
        <v>18</v>
      </c>
      <c r="B20" s="2" t="s">
        <v>83</v>
      </c>
      <c r="C20" s="80"/>
      <c r="D20" s="80"/>
      <c r="E20" s="80"/>
      <c r="F20" s="80"/>
      <c r="G20" s="24" t="s">
        <v>22</v>
      </c>
      <c r="H20" s="1" t="s">
        <v>24</v>
      </c>
      <c r="I20" s="86"/>
      <c r="J20" s="86"/>
      <c r="K20" s="80"/>
      <c r="L20" s="80"/>
      <c r="M20" s="80"/>
      <c r="N20" s="80"/>
      <c r="O20" s="80"/>
      <c r="P20" s="80"/>
      <c r="Q20" s="80"/>
      <c r="R20" s="1" t="s">
        <v>23</v>
      </c>
      <c r="S20" s="9" t="s">
        <v>34</v>
      </c>
      <c r="T20" s="37"/>
      <c r="U20" s="10" t="s">
        <v>29</v>
      </c>
      <c r="W20" s="9" t="s">
        <v>34</v>
      </c>
      <c r="X20" s="18" t="s">
        <v>7</v>
      </c>
      <c r="Y20">
        <v>6</v>
      </c>
      <c r="Z20">
        <f t="shared" si="6"/>
        <v>1</v>
      </c>
      <c r="AA20">
        <f t="shared" si="7"/>
        <v>1</v>
      </c>
      <c r="AB20">
        <f t="shared" si="8"/>
        <v>1</v>
      </c>
      <c r="AC20">
        <f t="shared" si="9"/>
        <v>1</v>
      </c>
      <c r="AD20">
        <f t="shared" si="10"/>
        <v>1</v>
      </c>
      <c r="AE20">
        <f t="shared" si="11"/>
        <v>0</v>
      </c>
    </row>
    <row r="21" spans="1:31" ht="15" thickBot="1" x14ac:dyDescent="0.25">
      <c r="A21" s="7">
        <v>19</v>
      </c>
      <c r="B21" s="2" t="s">
        <v>82</v>
      </c>
      <c r="C21" s="80"/>
      <c r="D21" s="80"/>
      <c r="E21" s="80"/>
      <c r="F21" s="80"/>
      <c r="G21" s="24" t="s">
        <v>22</v>
      </c>
      <c r="H21" s="1" t="s">
        <v>24</v>
      </c>
      <c r="I21" s="86"/>
      <c r="J21" s="86"/>
      <c r="K21" s="80"/>
      <c r="L21" s="80"/>
      <c r="M21" s="80"/>
      <c r="N21" s="80"/>
      <c r="O21" s="80"/>
      <c r="P21" s="80"/>
      <c r="Q21" s="80"/>
      <c r="R21" s="9" t="s">
        <v>25</v>
      </c>
      <c r="S21" s="9" t="s">
        <v>31</v>
      </c>
      <c r="T21" s="37"/>
      <c r="U21" s="10" t="s">
        <v>29</v>
      </c>
      <c r="W21" s="9" t="s">
        <v>31</v>
      </c>
      <c r="X21" s="18" t="s">
        <v>7</v>
      </c>
      <c r="Y21">
        <v>5</v>
      </c>
      <c r="Z21">
        <f t="shared" si="6"/>
        <v>1</v>
      </c>
      <c r="AA21">
        <f t="shared" si="7"/>
        <v>1</v>
      </c>
      <c r="AB21">
        <f t="shared" si="8"/>
        <v>1</v>
      </c>
      <c r="AC21">
        <f t="shared" si="9"/>
        <v>1</v>
      </c>
      <c r="AD21">
        <f t="shared" si="10"/>
        <v>0</v>
      </c>
      <c r="AE21">
        <f t="shared" si="11"/>
        <v>0</v>
      </c>
    </row>
    <row r="22" spans="1:31" ht="15" thickBot="1" x14ac:dyDescent="0.25">
      <c r="A22" s="7">
        <v>20</v>
      </c>
      <c r="B22" s="2" t="s">
        <v>81</v>
      </c>
      <c r="C22" s="80"/>
      <c r="D22" s="80"/>
      <c r="E22" s="80"/>
      <c r="F22" s="80"/>
      <c r="G22" s="24" t="s">
        <v>22</v>
      </c>
      <c r="H22" s="9" t="s">
        <v>34</v>
      </c>
      <c r="I22" s="86"/>
      <c r="J22" s="86"/>
      <c r="K22" s="80"/>
      <c r="L22" s="80"/>
      <c r="M22" s="80"/>
      <c r="N22" s="80"/>
      <c r="O22" s="80"/>
      <c r="P22" s="80"/>
      <c r="Q22" s="80"/>
      <c r="R22" s="1" t="s">
        <v>23</v>
      </c>
      <c r="S22" s="9" t="s">
        <v>34</v>
      </c>
      <c r="T22" s="37"/>
      <c r="U22" s="10" t="s">
        <v>29</v>
      </c>
      <c r="W22" s="5" t="s">
        <v>24</v>
      </c>
      <c r="X22" s="18" t="s">
        <v>8</v>
      </c>
      <c r="Y22">
        <v>1</v>
      </c>
      <c r="Z22">
        <f t="shared" si="6"/>
        <v>0</v>
      </c>
      <c r="AA22">
        <f t="shared" si="7"/>
        <v>0</v>
      </c>
      <c r="AB22">
        <f t="shared" si="8"/>
        <v>0</v>
      </c>
      <c r="AC22">
        <f t="shared" si="9"/>
        <v>0</v>
      </c>
      <c r="AD22">
        <f t="shared" si="10"/>
        <v>0</v>
      </c>
      <c r="AE22">
        <f t="shared" si="11"/>
        <v>0</v>
      </c>
    </row>
    <row r="23" spans="1:31" ht="15" thickBot="1" x14ac:dyDescent="0.25">
      <c r="A23" s="7">
        <v>21</v>
      </c>
      <c r="B23" s="2" t="s">
        <v>80</v>
      </c>
      <c r="C23" s="80"/>
      <c r="D23" s="80"/>
      <c r="E23" s="80"/>
      <c r="F23" s="80"/>
      <c r="G23" s="24" t="s">
        <v>22</v>
      </c>
      <c r="H23" s="9" t="s">
        <v>34</v>
      </c>
      <c r="I23" s="86"/>
      <c r="J23" s="86"/>
      <c r="K23" s="80"/>
      <c r="L23" s="80"/>
      <c r="M23" s="80"/>
      <c r="N23" s="80"/>
      <c r="O23" s="80"/>
      <c r="P23" s="80"/>
      <c r="Q23" s="80"/>
      <c r="R23" s="9" t="s">
        <v>25</v>
      </c>
      <c r="S23" s="1" t="s">
        <v>24</v>
      </c>
      <c r="T23" s="37"/>
      <c r="U23" s="8" t="s">
        <v>32</v>
      </c>
      <c r="W23" s="29" t="s">
        <v>25</v>
      </c>
      <c r="X23" s="18" t="s">
        <v>9</v>
      </c>
      <c r="Y23">
        <v>38</v>
      </c>
      <c r="Z23">
        <f t="shared" si="6"/>
        <v>1</v>
      </c>
      <c r="AA23">
        <f t="shared" si="7"/>
        <v>1</v>
      </c>
      <c r="AB23">
        <f t="shared" si="8"/>
        <v>1</v>
      </c>
      <c r="AC23">
        <f t="shared" si="9"/>
        <v>1</v>
      </c>
      <c r="AD23">
        <f t="shared" si="10"/>
        <v>1</v>
      </c>
      <c r="AE23">
        <f t="shared" si="11"/>
        <v>1</v>
      </c>
    </row>
    <row r="24" spans="1:31" ht="15" thickBot="1" x14ac:dyDescent="0.25">
      <c r="A24" s="7">
        <v>22</v>
      </c>
      <c r="B24" s="23" t="s">
        <v>79</v>
      </c>
      <c r="C24" s="80"/>
      <c r="D24" s="81"/>
      <c r="E24" s="80"/>
      <c r="F24" s="80"/>
      <c r="G24" s="22" t="s">
        <v>23</v>
      </c>
      <c r="H24" s="21" t="s">
        <v>24</v>
      </c>
      <c r="I24" s="86"/>
      <c r="J24" s="87"/>
      <c r="K24" s="81"/>
      <c r="L24" s="80"/>
      <c r="M24" s="80"/>
      <c r="N24" s="80"/>
      <c r="O24" s="80"/>
      <c r="P24" s="81"/>
      <c r="Q24" s="80"/>
      <c r="R24" s="20" t="s">
        <v>25</v>
      </c>
      <c r="S24" s="20" t="s">
        <v>34</v>
      </c>
      <c r="T24" s="37"/>
      <c r="U24" s="19" t="s">
        <v>29</v>
      </c>
      <c r="W24" s="30" t="s">
        <v>30</v>
      </c>
      <c r="X24" s="18" t="s">
        <v>9</v>
      </c>
      <c r="Y24">
        <v>4</v>
      </c>
      <c r="Z24">
        <f t="shared" si="6"/>
        <v>1</v>
      </c>
      <c r="AA24">
        <f t="shared" si="7"/>
        <v>1</v>
      </c>
      <c r="AB24">
        <f t="shared" si="8"/>
        <v>1</v>
      </c>
      <c r="AC24">
        <f t="shared" si="9"/>
        <v>0</v>
      </c>
      <c r="AD24">
        <f t="shared" si="10"/>
        <v>0</v>
      </c>
      <c r="AE24">
        <f t="shared" si="11"/>
        <v>0</v>
      </c>
    </row>
    <row r="25" spans="1:31" ht="15" thickBot="1" x14ac:dyDescent="0.25">
      <c r="A25" s="7">
        <v>23</v>
      </c>
      <c r="B25" s="18" t="s">
        <v>78</v>
      </c>
      <c r="C25" s="80"/>
      <c r="D25" s="17" t="s">
        <v>22</v>
      </c>
      <c r="E25" s="80"/>
      <c r="F25" s="80"/>
      <c r="G25" s="83" t="s">
        <v>22</v>
      </c>
      <c r="H25" s="17" t="s">
        <v>24</v>
      </c>
      <c r="I25" s="86"/>
      <c r="J25" s="17" t="s">
        <v>25</v>
      </c>
      <c r="K25" s="17" t="s">
        <v>23</v>
      </c>
      <c r="L25" s="80"/>
      <c r="M25" s="80"/>
      <c r="N25" s="80"/>
      <c r="O25" s="80"/>
      <c r="P25" s="17" t="s">
        <v>25</v>
      </c>
      <c r="Q25" s="80"/>
      <c r="R25" s="16" t="s">
        <v>25</v>
      </c>
      <c r="S25" s="16" t="s">
        <v>34</v>
      </c>
      <c r="T25" s="17" t="s">
        <v>24</v>
      </c>
      <c r="U25" s="15" t="s">
        <v>29</v>
      </c>
      <c r="W25" s="1" t="s">
        <v>26</v>
      </c>
      <c r="X25" s="18" t="s">
        <v>11</v>
      </c>
      <c r="Y25">
        <v>42</v>
      </c>
      <c r="Z25">
        <f t="shared" si="6"/>
        <v>1</v>
      </c>
      <c r="AA25">
        <f t="shared" si="7"/>
        <v>1</v>
      </c>
      <c r="AB25">
        <f t="shared" si="8"/>
        <v>1</v>
      </c>
      <c r="AC25">
        <f t="shared" si="9"/>
        <v>1</v>
      </c>
      <c r="AD25">
        <f t="shared" si="10"/>
        <v>1</v>
      </c>
      <c r="AE25">
        <f t="shared" si="11"/>
        <v>1</v>
      </c>
    </row>
    <row r="26" spans="1:31" ht="15" thickBot="1" x14ac:dyDescent="0.25">
      <c r="A26" s="7">
        <v>24</v>
      </c>
      <c r="B26" s="2" t="s">
        <v>77</v>
      </c>
      <c r="C26" s="80"/>
      <c r="D26" s="1" t="s">
        <v>22</v>
      </c>
      <c r="E26" s="80"/>
      <c r="F26" s="80"/>
      <c r="G26" s="83"/>
      <c r="H26" s="1" t="s">
        <v>24</v>
      </c>
      <c r="I26" s="86"/>
      <c r="J26" s="1" t="s">
        <v>25</v>
      </c>
      <c r="K26" s="1" t="s">
        <v>23</v>
      </c>
      <c r="L26" s="80"/>
      <c r="M26" s="80"/>
      <c r="N26" s="80"/>
      <c r="O26" s="80"/>
      <c r="P26" s="1" t="s">
        <v>25</v>
      </c>
      <c r="Q26" s="80"/>
      <c r="R26" s="1" t="s">
        <v>23</v>
      </c>
      <c r="S26" s="9" t="s">
        <v>31</v>
      </c>
      <c r="T26" s="1" t="s">
        <v>24</v>
      </c>
      <c r="U26" s="8" t="s">
        <v>32</v>
      </c>
      <c r="W26" s="1" t="s">
        <v>30</v>
      </c>
      <c r="X26" s="18" t="s">
        <v>12</v>
      </c>
      <c r="Y26">
        <v>41</v>
      </c>
      <c r="Z26">
        <f t="shared" si="6"/>
        <v>1</v>
      </c>
      <c r="AA26">
        <f t="shared" si="7"/>
        <v>1</v>
      </c>
      <c r="AB26">
        <f t="shared" si="8"/>
        <v>1</v>
      </c>
      <c r="AC26">
        <f t="shared" si="9"/>
        <v>1</v>
      </c>
      <c r="AD26">
        <f t="shared" si="10"/>
        <v>1</v>
      </c>
      <c r="AE26">
        <f t="shared" si="11"/>
        <v>1</v>
      </c>
    </row>
    <row r="27" spans="1:31" ht="15" thickBot="1" x14ac:dyDescent="0.25">
      <c r="A27" s="7">
        <v>25</v>
      </c>
      <c r="B27" s="2" t="s">
        <v>76</v>
      </c>
      <c r="C27" s="80"/>
      <c r="D27" s="1" t="s">
        <v>22</v>
      </c>
      <c r="E27" s="80"/>
      <c r="F27" s="80"/>
      <c r="G27" s="83"/>
      <c r="H27" s="1" t="s">
        <v>24</v>
      </c>
      <c r="I27" s="86"/>
      <c r="J27" s="1" t="s">
        <v>25</v>
      </c>
      <c r="K27" s="1" t="s">
        <v>23</v>
      </c>
      <c r="L27" s="80"/>
      <c r="M27" s="80"/>
      <c r="N27" s="80"/>
      <c r="O27" s="80"/>
      <c r="P27" s="1" t="s">
        <v>25</v>
      </c>
      <c r="Q27" s="80"/>
      <c r="R27" s="9" t="s">
        <v>25</v>
      </c>
      <c r="S27" s="1" t="s">
        <v>24</v>
      </c>
      <c r="T27" s="1" t="s">
        <v>24</v>
      </c>
      <c r="U27" s="8" t="s">
        <v>32</v>
      </c>
      <c r="W27" s="5" t="s">
        <v>25</v>
      </c>
      <c r="X27" s="18" t="s">
        <v>12</v>
      </c>
      <c r="Y27">
        <v>1</v>
      </c>
      <c r="Z27">
        <f t="shared" si="6"/>
        <v>0</v>
      </c>
      <c r="AA27">
        <f t="shared" si="7"/>
        <v>0</v>
      </c>
      <c r="AB27">
        <f t="shared" si="8"/>
        <v>0</v>
      </c>
      <c r="AC27">
        <f t="shared" si="9"/>
        <v>0</v>
      </c>
      <c r="AD27">
        <f t="shared" si="10"/>
        <v>0</v>
      </c>
      <c r="AE27">
        <f t="shared" si="11"/>
        <v>0</v>
      </c>
    </row>
    <row r="28" spans="1:31" ht="15" thickBot="1" x14ac:dyDescent="0.25">
      <c r="A28" s="7">
        <v>26</v>
      </c>
      <c r="B28" s="2" t="s">
        <v>75</v>
      </c>
      <c r="C28" s="80"/>
      <c r="D28" s="1" t="s">
        <v>22</v>
      </c>
      <c r="E28" s="80"/>
      <c r="F28" s="80"/>
      <c r="G28" s="83"/>
      <c r="H28" s="9" t="s">
        <v>31</v>
      </c>
      <c r="I28" s="86"/>
      <c r="J28" s="1" t="s">
        <v>25</v>
      </c>
      <c r="K28" s="1" t="s">
        <v>23</v>
      </c>
      <c r="L28" s="80"/>
      <c r="M28" s="80"/>
      <c r="N28" s="80"/>
      <c r="O28" s="80"/>
      <c r="P28" s="1" t="s">
        <v>25</v>
      </c>
      <c r="Q28" s="80"/>
      <c r="R28" s="1" t="s">
        <v>23</v>
      </c>
      <c r="S28" s="9" t="s">
        <v>31</v>
      </c>
      <c r="T28" s="1" t="s">
        <v>24</v>
      </c>
      <c r="U28" s="10" t="s">
        <v>29</v>
      </c>
      <c r="W28" s="1" t="s">
        <v>28</v>
      </c>
      <c r="X28" s="18" t="s">
        <v>14</v>
      </c>
      <c r="Y28">
        <v>42</v>
      </c>
      <c r="Z28">
        <f t="shared" si="6"/>
        <v>1</v>
      </c>
      <c r="AA28">
        <f t="shared" si="7"/>
        <v>1</v>
      </c>
      <c r="AB28">
        <f t="shared" si="8"/>
        <v>1</v>
      </c>
      <c r="AC28">
        <f t="shared" si="9"/>
        <v>1</v>
      </c>
      <c r="AD28">
        <f t="shared" si="10"/>
        <v>1</v>
      </c>
      <c r="AE28">
        <f t="shared" si="11"/>
        <v>1</v>
      </c>
    </row>
    <row r="29" spans="1:31" ht="15" thickBot="1" x14ac:dyDescent="0.25">
      <c r="A29" s="7">
        <v>27</v>
      </c>
      <c r="B29" s="2" t="s">
        <v>74</v>
      </c>
      <c r="C29" s="80"/>
      <c r="D29" s="1" t="s">
        <v>22</v>
      </c>
      <c r="E29" s="80"/>
      <c r="F29" s="80"/>
      <c r="G29" s="83"/>
      <c r="H29" s="1" t="s">
        <v>24</v>
      </c>
      <c r="I29" s="86"/>
      <c r="J29" s="9" t="s">
        <v>30</v>
      </c>
      <c r="K29" s="1" t="s">
        <v>23</v>
      </c>
      <c r="L29" s="80"/>
      <c r="M29" s="80"/>
      <c r="N29" s="80"/>
      <c r="O29" s="80"/>
      <c r="P29" s="1" t="s">
        <v>25</v>
      </c>
      <c r="Q29" s="80"/>
      <c r="R29" s="9" t="s">
        <v>25</v>
      </c>
      <c r="S29" s="1" t="s">
        <v>24</v>
      </c>
      <c r="T29" s="1" t="s">
        <v>24</v>
      </c>
      <c r="U29" s="8" t="s">
        <v>32</v>
      </c>
      <c r="W29" s="17" t="s">
        <v>25</v>
      </c>
      <c r="X29" s="18" t="s">
        <v>15</v>
      </c>
      <c r="Y29">
        <v>41</v>
      </c>
      <c r="Z29">
        <f t="shared" si="6"/>
        <v>1</v>
      </c>
      <c r="AA29">
        <f t="shared" si="7"/>
        <v>1</v>
      </c>
      <c r="AB29">
        <f t="shared" si="8"/>
        <v>1</v>
      </c>
      <c r="AC29">
        <f t="shared" si="9"/>
        <v>1</v>
      </c>
      <c r="AD29">
        <f t="shared" si="10"/>
        <v>1</v>
      </c>
      <c r="AE29">
        <f t="shared" si="11"/>
        <v>1</v>
      </c>
    </row>
    <row r="30" spans="1:31" ht="15" thickBot="1" x14ac:dyDescent="0.25">
      <c r="A30" s="7">
        <v>28</v>
      </c>
      <c r="B30" s="2" t="s">
        <v>73</v>
      </c>
      <c r="C30" s="80"/>
      <c r="D30" s="1" t="s">
        <v>22</v>
      </c>
      <c r="E30" s="80"/>
      <c r="F30" s="80"/>
      <c r="G30" s="83"/>
      <c r="H30" s="1" t="s">
        <v>24</v>
      </c>
      <c r="I30" s="86"/>
      <c r="J30" s="1" t="s">
        <v>25</v>
      </c>
      <c r="K30" s="1" t="s">
        <v>23</v>
      </c>
      <c r="L30" s="80"/>
      <c r="M30" s="80"/>
      <c r="N30" s="80"/>
      <c r="O30" s="80"/>
      <c r="P30" s="1" t="s">
        <v>25</v>
      </c>
      <c r="Q30" s="80"/>
      <c r="R30" s="1" t="s">
        <v>23</v>
      </c>
      <c r="S30" s="1" t="s">
        <v>24</v>
      </c>
      <c r="T30" s="9" t="s">
        <v>31</v>
      </c>
      <c r="U30" s="8" t="s">
        <v>32</v>
      </c>
      <c r="W30" s="9" t="s">
        <v>25</v>
      </c>
      <c r="X30" s="18" t="s">
        <v>17</v>
      </c>
      <c r="Y30">
        <v>16</v>
      </c>
      <c r="Z30">
        <f t="shared" si="6"/>
        <v>1</v>
      </c>
      <c r="AA30">
        <f t="shared" si="7"/>
        <v>1</v>
      </c>
      <c r="AB30">
        <f t="shared" si="8"/>
        <v>1</v>
      </c>
      <c r="AC30">
        <f t="shared" si="9"/>
        <v>1</v>
      </c>
      <c r="AD30">
        <f t="shared" si="10"/>
        <v>1</v>
      </c>
      <c r="AE30">
        <f t="shared" si="11"/>
        <v>1</v>
      </c>
    </row>
    <row r="31" spans="1:31" ht="15" thickBot="1" x14ac:dyDescent="0.25">
      <c r="A31" s="7">
        <v>29</v>
      </c>
      <c r="B31" s="2" t="s">
        <v>72</v>
      </c>
      <c r="C31" s="80"/>
      <c r="D31" s="1" t="s">
        <v>22</v>
      </c>
      <c r="E31" s="80"/>
      <c r="F31" s="80"/>
      <c r="G31" s="83"/>
      <c r="H31" s="9" t="s">
        <v>31</v>
      </c>
      <c r="I31" s="86"/>
      <c r="J31" s="1" t="s">
        <v>25</v>
      </c>
      <c r="K31" s="1" t="s">
        <v>23</v>
      </c>
      <c r="L31" s="80"/>
      <c r="M31" s="80"/>
      <c r="N31" s="80"/>
      <c r="O31" s="80"/>
      <c r="P31" s="1" t="s">
        <v>25</v>
      </c>
      <c r="Q31" s="80"/>
      <c r="R31" s="9" t="s">
        <v>25</v>
      </c>
      <c r="S31" s="1" t="s">
        <v>24</v>
      </c>
      <c r="T31" s="1" t="s">
        <v>24</v>
      </c>
      <c r="U31" s="10" t="s">
        <v>29</v>
      </c>
      <c r="W31" s="1" t="s">
        <v>24</v>
      </c>
      <c r="X31" s="18" t="s">
        <v>18</v>
      </c>
      <c r="Y31">
        <v>26</v>
      </c>
      <c r="Z31">
        <f t="shared" si="6"/>
        <v>1</v>
      </c>
      <c r="AA31">
        <f t="shared" si="7"/>
        <v>1</v>
      </c>
      <c r="AB31">
        <f t="shared" si="8"/>
        <v>1</v>
      </c>
      <c r="AC31">
        <f t="shared" si="9"/>
        <v>1</v>
      </c>
      <c r="AD31">
        <f t="shared" si="10"/>
        <v>1</v>
      </c>
      <c r="AE31">
        <f t="shared" si="11"/>
        <v>1</v>
      </c>
    </row>
    <row r="32" spans="1:31" ht="15" thickBot="1" x14ac:dyDescent="0.25">
      <c r="A32" s="7">
        <v>30</v>
      </c>
      <c r="B32" s="2" t="s">
        <v>71</v>
      </c>
      <c r="C32" s="80"/>
      <c r="D32" s="1" t="s">
        <v>22</v>
      </c>
      <c r="E32" s="80"/>
      <c r="F32" s="80"/>
      <c r="G32" s="83"/>
      <c r="H32" s="1" t="s">
        <v>24</v>
      </c>
      <c r="I32" s="86"/>
      <c r="J32" s="9" t="s">
        <v>30</v>
      </c>
      <c r="K32" s="1" t="s">
        <v>23</v>
      </c>
      <c r="L32" s="80"/>
      <c r="M32" s="80"/>
      <c r="N32" s="80"/>
      <c r="O32" s="80"/>
      <c r="P32" s="1" t="s">
        <v>25</v>
      </c>
      <c r="Q32" s="80"/>
      <c r="R32" s="1" t="s">
        <v>23</v>
      </c>
      <c r="S32" s="9" t="s">
        <v>31</v>
      </c>
      <c r="T32" s="1" t="s">
        <v>24</v>
      </c>
      <c r="U32" s="10" t="s">
        <v>29</v>
      </c>
      <c r="W32" s="16" t="s">
        <v>34</v>
      </c>
      <c r="X32" s="18" t="s">
        <v>18</v>
      </c>
      <c r="Y32">
        <v>8</v>
      </c>
      <c r="Z32">
        <f t="shared" si="6"/>
        <v>1</v>
      </c>
      <c r="AA32">
        <f t="shared" si="7"/>
        <v>1</v>
      </c>
      <c r="AB32">
        <f t="shared" si="8"/>
        <v>1</v>
      </c>
      <c r="AC32">
        <f t="shared" si="9"/>
        <v>1</v>
      </c>
      <c r="AD32">
        <f t="shared" si="10"/>
        <v>1</v>
      </c>
      <c r="AE32">
        <f t="shared" si="11"/>
        <v>0</v>
      </c>
    </row>
    <row r="33" spans="1:31" ht="15" thickBot="1" x14ac:dyDescent="0.25">
      <c r="A33" s="7">
        <v>31</v>
      </c>
      <c r="B33" s="2" t="s">
        <v>70</v>
      </c>
      <c r="C33" s="80"/>
      <c r="D33" s="1" t="s">
        <v>22</v>
      </c>
      <c r="E33" s="80"/>
      <c r="F33" s="80"/>
      <c r="G33" s="83"/>
      <c r="H33" s="1" t="s">
        <v>24</v>
      </c>
      <c r="I33" s="86"/>
      <c r="J33" s="1" t="s">
        <v>25</v>
      </c>
      <c r="K33" s="42" t="s">
        <v>22</v>
      </c>
      <c r="L33" s="80"/>
      <c r="M33" s="80"/>
      <c r="N33" s="80"/>
      <c r="O33" s="80"/>
      <c r="P33" s="42" t="s">
        <v>22</v>
      </c>
      <c r="Q33" s="80"/>
      <c r="R33" s="9" t="s">
        <v>25</v>
      </c>
      <c r="S33" s="1" t="s">
        <v>24</v>
      </c>
      <c r="T33" s="1" t="s">
        <v>24</v>
      </c>
      <c r="U33" s="10" t="s">
        <v>29</v>
      </c>
      <c r="W33" s="9" t="s">
        <v>31</v>
      </c>
      <c r="X33" s="18" t="s">
        <v>18</v>
      </c>
      <c r="Y33">
        <v>8</v>
      </c>
      <c r="Z33">
        <f t="shared" si="6"/>
        <v>1</v>
      </c>
      <c r="AA33">
        <f t="shared" si="7"/>
        <v>1</v>
      </c>
      <c r="AB33">
        <f t="shared" si="8"/>
        <v>1</v>
      </c>
      <c r="AC33">
        <f t="shared" si="9"/>
        <v>1</v>
      </c>
      <c r="AD33">
        <f t="shared" si="10"/>
        <v>1</v>
      </c>
      <c r="AE33">
        <f t="shared" si="11"/>
        <v>0</v>
      </c>
    </row>
    <row r="34" spans="1:31" ht="15" thickBot="1" x14ac:dyDescent="0.25">
      <c r="A34" s="7">
        <v>32</v>
      </c>
      <c r="B34" s="2" t="s">
        <v>69</v>
      </c>
      <c r="C34" s="80"/>
      <c r="D34" s="9" t="s">
        <v>25</v>
      </c>
      <c r="E34" s="80"/>
      <c r="F34" s="80"/>
      <c r="G34" s="83"/>
      <c r="H34" s="1" t="s">
        <v>24</v>
      </c>
      <c r="I34" s="86"/>
      <c r="J34" s="1" t="s">
        <v>25</v>
      </c>
      <c r="K34" s="1" t="s">
        <v>23</v>
      </c>
      <c r="L34" s="80"/>
      <c r="M34" s="80"/>
      <c r="N34" s="80"/>
      <c r="O34" s="80"/>
      <c r="P34" s="1" t="s">
        <v>25</v>
      </c>
      <c r="Q34" s="80"/>
      <c r="R34" s="1" t="s">
        <v>23</v>
      </c>
      <c r="S34" s="1" t="s">
        <v>24</v>
      </c>
      <c r="T34" s="1" t="s">
        <v>24</v>
      </c>
      <c r="U34" s="10" t="s">
        <v>29</v>
      </c>
      <c r="W34" s="1" t="s">
        <v>24</v>
      </c>
      <c r="X34" s="18" t="s">
        <v>19</v>
      </c>
      <c r="Y34">
        <v>38</v>
      </c>
      <c r="Z34">
        <f t="shared" si="6"/>
        <v>1</v>
      </c>
      <c r="AA34">
        <f t="shared" si="7"/>
        <v>1</v>
      </c>
      <c r="AB34">
        <f t="shared" si="8"/>
        <v>1</v>
      </c>
      <c r="AC34">
        <f t="shared" si="9"/>
        <v>1</v>
      </c>
      <c r="AD34">
        <f t="shared" si="10"/>
        <v>1</v>
      </c>
      <c r="AE34">
        <f t="shared" si="11"/>
        <v>1</v>
      </c>
    </row>
    <row r="35" spans="1:31" ht="15" thickBot="1" x14ac:dyDescent="0.25">
      <c r="A35" s="7">
        <v>33</v>
      </c>
      <c r="B35" s="6" t="s">
        <v>68</v>
      </c>
      <c r="C35" s="80"/>
      <c r="D35" s="5" t="s">
        <v>25</v>
      </c>
      <c r="E35" s="80"/>
      <c r="F35" s="80"/>
      <c r="G35" s="83"/>
      <c r="H35" s="4" t="s">
        <v>24</v>
      </c>
      <c r="I35" s="86"/>
      <c r="J35" s="4" t="s">
        <v>25</v>
      </c>
      <c r="K35" s="4" t="s">
        <v>23</v>
      </c>
      <c r="L35" s="80"/>
      <c r="M35" s="80"/>
      <c r="N35" s="80"/>
      <c r="O35" s="80"/>
      <c r="P35" s="4" t="s">
        <v>25</v>
      </c>
      <c r="Q35" s="80"/>
      <c r="R35" s="4" t="s">
        <v>23</v>
      </c>
      <c r="S35" s="5" t="s">
        <v>34</v>
      </c>
      <c r="T35" s="21" t="s">
        <v>24</v>
      </c>
      <c r="U35" s="3" t="s">
        <v>29</v>
      </c>
      <c r="W35" s="16" t="s">
        <v>34</v>
      </c>
      <c r="X35" s="18" t="s">
        <v>19</v>
      </c>
      <c r="Y35">
        <v>2</v>
      </c>
      <c r="Z35">
        <f t="shared" si="6"/>
        <v>1</v>
      </c>
      <c r="AA35">
        <f t="shared" si="7"/>
        <v>0</v>
      </c>
      <c r="AB35">
        <f t="shared" si="8"/>
        <v>0</v>
      </c>
      <c r="AC35">
        <f t="shared" si="9"/>
        <v>0</v>
      </c>
      <c r="AD35">
        <f t="shared" si="10"/>
        <v>0</v>
      </c>
      <c r="AE35">
        <f t="shared" si="11"/>
        <v>0</v>
      </c>
    </row>
    <row r="36" spans="1:31" ht="15" thickBot="1" x14ac:dyDescent="0.25">
      <c r="A36" s="7">
        <v>34</v>
      </c>
      <c r="B36" s="14" t="s">
        <v>67</v>
      </c>
      <c r="C36" s="80"/>
      <c r="D36" s="82" t="s">
        <v>22</v>
      </c>
      <c r="E36" s="80"/>
      <c r="F36" s="80"/>
      <c r="G36" s="83"/>
      <c r="H36" s="13" t="s">
        <v>34</v>
      </c>
      <c r="I36" s="86"/>
      <c r="J36" s="85" t="s">
        <v>25</v>
      </c>
      <c r="K36" s="82" t="s">
        <v>23</v>
      </c>
      <c r="L36" s="80"/>
      <c r="M36" s="80"/>
      <c r="N36" s="80"/>
      <c r="O36" s="80"/>
      <c r="P36" s="82" t="s">
        <v>25</v>
      </c>
      <c r="Q36" s="80"/>
      <c r="R36" s="12" t="s">
        <v>23</v>
      </c>
      <c r="S36" s="12" t="s">
        <v>24</v>
      </c>
      <c r="T36" s="17" t="s">
        <v>24</v>
      </c>
      <c r="U36" s="11" t="s">
        <v>29</v>
      </c>
      <c r="W36" s="9" t="s">
        <v>31</v>
      </c>
      <c r="X36" s="18" t="s">
        <v>19</v>
      </c>
      <c r="Y36">
        <v>2</v>
      </c>
      <c r="Z36">
        <f t="shared" si="6"/>
        <v>1</v>
      </c>
      <c r="AA36">
        <f t="shared" si="7"/>
        <v>0</v>
      </c>
      <c r="AB36">
        <f t="shared" si="8"/>
        <v>0</v>
      </c>
      <c r="AC36">
        <f t="shared" si="9"/>
        <v>0</v>
      </c>
      <c r="AD36">
        <f t="shared" si="10"/>
        <v>0</v>
      </c>
      <c r="AE36">
        <f t="shared" si="11"/>
        <v>0</v>
      </c>
    </row>
    <row r="37" spans="1:31" ht="15" thickBot="1" x14ac:dyDescent="0.25">
      <c r="A37" s="7">
        <v>35</v>
      </c>
      <c r="B37" s="2" t="s">
        <v>66</v>
      </c>
      <c r="C37" s="80"/>
      <c r="D37" s="80"/>
      <c r="E37" s="80"/>
      <c r="F37" s="80"/>
      <c r="G37" s="83"/>
      <c r="H37" s="9" t="s">
        <v>31</v>
      </c>
      <c r="I37" s="86"/>
      <c r="J37" s="86"/>
      <c r="K37" s="80"/>
      <c r="L37" s="80"/>
      <c r="M37" s="80"/>
      <c r="N37" s="80"/>
      <c r="O37" s="80"/>
      <c r="P37" s="80"/>
      <c r="Q37" s="80"/>
      <c r="R37" s="1" t="s">
        <v>23</v>
      </c>
      <c r="S37" s="9" t="s">
        <v>34</v>
      </c>
      <c r="T37" s="1" t="s">
        <v>24</v>
      </c>
      <c r="U37" s="10" t="s">
        <v>29</v>
      </c>
      <c r="W37" s="10" t="s">
        <v>29</v>
      </c>
      <c r="X37" s="32" t="s">
        <v>20</v>
      </c>
      <c r="Y37">
        <v>30</v>
      </c>
      <c r="Z37">
        <f t="shared" si="6"/>
        <v>1</v>
      </c>
      <c r="AA37">
        <f t="shared" si="7"/>
        <v>1</v>
      </c>
      <c r="AB37">
        <f t="shared" si="8"/>
        <v>1</v>
      </c>
      <c r="AC37">
        <f t="shared" si="9"/>
        <v>1</v>
      </c>
      <c r="AD37">
        <f t="shared" si="10"/>
        <v>1</v>
      </c>
      <c r="AE37">
        <f t="shared" si="11"/>
        <v>1</v>
      </c>
    </row>
    <row r="38" spans="1:31" ht="15" thickBot="1" x14ac:dyDescent="0.25">
      <c r="A38" s="7">
        <v>36</v>
      </c>
      <c r="B38" s="2" t="s">
        <v>65</v>
      </c>
      <c r="C38" s="80"/>
      <c r="D38" s="80"/>
      <c r="E38" s="80"/>
      <c r="F38" s="80"/>
      <c r="G38" s="83"/>
      <c r="H38" s="9" t="s">
        <v>31</v>
      </c>
      <c r="I38" s="86"/>
      <c r="J38" s="86"/>
      <c r="K38" s="80"/>
      <c r="L38" s="80"/>
      <c r="M38" s="80"/>
      <c r="N38" s="80"/>
      <c r="O38" s="80"/>
      <c r="P38" s="80"/>
      <c r="Q38" s="80"/>
      <c r="R38" s="1" t="s">
        <v>23</v>
      </c>
      <c r="S38" s="1" t="s">
        <v>24</v>
      </c>
      <c r="T38" s="1" t="s">
        <v>24</v>
      </c>
      <c r="U38" s="8" t="s">
        <v>32</v>
      </c>
      <c r="W38" s="8" t="s">
        <v>33</v>
      </c>
      <c r="X38" s="32" t="s">
        <v>20</v>
      </c>
      <c r="Y38">
        <v>1</v>
      </c>
      <c r="Z38">
        <f t="shared" si="6"/>
        <v>0</v>
      </c>
      <c r="AA38">
        <f t="shared" si="7"/>
        <v>0</v>
      </c>
      <c r="AB38">
        <f t="shared" si="8"/>
        <v>0</v>
      </c>
      <c r="AC38">
        <f t="shared" si="9"/>
        <v>0</v>
      </c>
      <c r="AD38">
        <f t="shared" si="10"/>
        <v>0</v>
      </c>
      <c r="AE38">
        <f t="shared" si="11"/>
        <v>0</v>
      </c>
    </row>
    <row r="39" spans="1:31" x14ac:dyDescent="0.2">
      <c r="A39" s="7">
        <v>37</v>
      </c>
      <c r="B39" s="2" t="s">
        <v>64</v>
      </c>
      <c r="C39" s="80"/>
      <c r="D39" s="80"/>
      <c r="E39" s="80"/>
      <c r="F39" s="80"/>
      <c r="G39" s="83"/>
      <c r="H39" s="1" t="s">
        <v>24</v>
      </c>
      <c r="I39" s="86"/>
      <c r="J39" s="86"/>
      <c r="K39" s="80"/>
      <c r="L39" s="80"/>
      <c r="M39" s="80"/>
      <c r="N39" s="80"/>
      <c r="O39" s="80"/>
      <c r="P39" s="80"/>
      <c r="Q39" s="80"/>
      <c r="R39" s="1" t="s">
        <v>23</v>
      </c>
      <c r="S39" s="9" t="s">
        <v>34</v>
      </c>
      <c r="T39" s="1" t="s">
        <v>24</v>
      </c>
      <c r="U39" s="8" t="s">
        <v>32</v>
      </c>
      <c r="W39" s="8" t="s">
        <v>32</v>
      </c>
      <c r="X39" s="32" t="s">
        <v>20</v>
      </c>
      <c r="Y39">
        <v>11</v>
      </c>
      <c r="Z39">
        <f t="shared" si="6"/>
        <v>1</v>
      </c>
      <c r="AA39">
        <f t="shared" si="7"/>
        <v>1</v>
      </c>
      <c r="AB39">
        <f t="shared" si="8"/>
        <v>1</v>
      </c>
      <c r="AC39">
        <f t="shared" si="9"/>
        <v>1</v>
      </c>
      <c r="AD39">
        <f t="shared" si="10"/>
        <v>1</v>
      </c>
      <c r="AE39">
        <f t="shared" si="11"/>
        <v>1</v>
      </c>
    </row>
    <row r="40" spans="1:31" x14ac:dyDescent="0.2">
      <c r="A40" s="7">
        <v>38</v>
      </c>
      <c r="B40" s="2" t="s">
        <v>63</v>
      </c>
      <c r="C40" s="80"/>
      <c r="D40" s="80"/>
      <c r="E40" s="80"/>
      <c r="F40" s="80"/>
      <c r="G40" s="83"/>
      <c r="H40" s="1" t="s">
        <v>24</v>
      </c>
      <c r="I40" s="86"/>
      <c r="J40" s="86"/>
      <c r="K40" s="80"/>
      <c r="L40" s="80"/>
      <c r="M40" s="80"/>
      <c r="N40" s="80"/>
      <c r="O40" s="80"/>
      <c r="P40" s="80"/>
      <c r="Q40" s="80"/>
      <c r="R40" s="1" t="s">
        <v>23</v>
      </c>
      <c r="S40" s="1" t="s">
        <v>24</v>
      </c>
      <c r="T40" s="9" t="s">
        <v>34</v>
      </c>
      <c r="U40" s="10" t="s">
        <v>29</v>
      </c>
      <c r="Z40">
        <f t="shared" ref="Z40:AE40" si="12">SUM(Z2:Z39)</f>
        <v>31</v>
      </c>
      <c r="AA40">
        <f t="shared" si="12"/>
        <v>28</v>
      </c>
      <c r="AB40">
        <f t="shared" si="12"/>
        <v>27</v>
      </c>
      <c r="AC40">
        <f t="shared" si="12"/>
        <v>26</v>
      </c>
      <c r="AD40">
        <f t="shared" si="12"/>
        <v>24</v>
      </c>
      <c r="AE40">
        <f t="shared" si="12"/>
        <v>21</v>
      </c>
    </row>
    <row r="41" spans="1:31" x14ac:dyDescent="0.2">
      <c r="A41" s="7">
        <v>39</v>
      </c>
      <c r="B41" s="2" t="s">
        <v>62</v>
      </c>
      <c r="C41" s="80"/>
      <c r="D41" s="80"/>
      <c r="E41" s="80"/>
      <c r="F41" s="80"/>
      <c r="G41" s="83"/>
      <c r="H41" s="9" t="s">
        <v>34</v>
      </c>
      <c r="I41" s="86"/>
      <c r="J41" s="86"/>
      <c r="K41" s="80"/>
      <c r="L41" s="80"/>
      <c r="M41" s="80"/>
      <c r="N41" s="80"/>
      <c r="O41" s="80"/>
      <c r="P41" s="80"/>
      <c r="Q41" s="80"/>
      <c r="R41" s="1" t="s">
        <v>23</v>
      </c>
      <c r="S41" s="1" t="s">
        <v>24</v>
      </c>
      <c r="T41" s="9" t="s">
        <v>34</v>
      </c>
      <c r="U41" s="10" t="s">
        <v>29</v>
      </c>
    </row>
    <row r="42" spans="1:31" x14ac:dyDescent="0.2">
      <c r="A42" s="7">
        <v>40</v>
      </c>
      <c r="B42" s="2" t="s">
        <v>61</v>
      </c>
      <c r="C42" s="80"/>
      <c r="D42" s="80"/>
      <c r="E42" s="80"/>
      <c r="F42" s="80"/>
      <c r="G42" s="83"/>
      <c r="H42" s="9" t="s">
        <v>31</v>
      </c>
      <c r="I42" s="86"/>
      <c r="J42" s="86"/>
      <c r="K42" s="80"/>
      <c r="L42" s="80"/>
      <c r="M42" s="80"/>
      <c r="N42" s="80"/>
      <c r="O42" s="80"/>
      <c r="P42" s="80"/>
      <c r="Q42" s="80"/>
      <c r="R42" s="1" t="s">
        <v>23</v>
      </c>
      <c r="S42" s="1" t="s">
        <v>24</v>
      </c>
      <c r="T42" s="1" t="s">
        <v>24</v>
      </c>
      <c r="U42" s="10" t="s">
        <v>29</v>
      </c>
    </row>
    <row r="43" spans="1:31" x14ac:dyDescent="0.2">
      <c r="A43" s="7">
        <v>41</v>
      </c>
      <c r="B43" s="2" t="s">
        <v>60</v>
      </c>
      <c r="C43" s="80"/>
      <c r="D43" s="80"/>
      <c r="E43" s="80"/>
      <c r="F43" s="80"/>
      <c r="G43" s="83"/>
      <c r="H43" s="9" t="s">
        <v>34</v>
      </c>
      <c r="I43" s="86"/>
      <c r="J43" s="86"/>
      <c r="K43" s="80"/>
      <c r="L43" s="80"/>
      <c r="M43" s="80"/>
      <c r="N43" s="80"/>
      <c r="O43" s="80"/>
      <c r="P43" s="80"/>
      <c r="Q43" s="80"/>
      <c r="R43" s="9" t="s">
        <v>25</v>
      </c>
      <c r="S43" s="1" t="s">
        <v>24</v>
      </c>
      <c r="T43" s="1" t="s">
        <v>24</v>
      </c>
      <c r="U43" s="10" t="s">
        <v>29</v>
      </c>
    </row>
    <row r="44" spans="1:31" x14ac:dyDescent="0.2">
      <c r="A44" s="7">
        <v>42</v>
      </c>
      <c r="B44" s="2" t="s">
        <v>59</v>
      </c>
      <c r="C44" s="80"/>
      <c r="D44" s="80"/>
      <c r="E44" s="80"/>
      <c r="F44" s="80"/>
      <c r="G44" s="83"/>
      <c r="H44" s="1" t="s">
        <v>24</v>
      </c>
      <c r="I44" s="86"/>
      <c r="J44" s="86"/>
      <c r="K44" s="80"/>
      <c r="L44" s="80"/>
      <c r="M44" s="80"/>
      <c r="N44" s="80"/>
      <c r="O44" s="80"/>
      <c r="P44" s="80"/>
      <c r="Q44" s="80"/>
      <c r="R44" s="1" t="s">
        <v>23</v>
      </c>
      <c r="S44" s="9" t="s">
        <v>34</v>
      </c>
      <c r="T44" s="9" t="s">
        <v>31</v>
      </c>
      <c r="U44" s="10" t="s">
        <v>29</v>
      </c>
      <c r="W44" s="1" t="s">
        <v>23</v>
      </c>
      <c r="X44" s="1" t="s">
        <v>21</v>
      </c>
    </row>
    <row r="45" spans="1:31" x14ac:dyDescent="0.2">
      <c r="A45" s="7">
        <v>43</v>
      </c>
      <c r="B45" s="2" t="s">
        <v>58</v>
      </c>
      <c r="C45" s="80"/>
      <c r="D45" s="80"/>
      <c r="E45" s="80"/>
      <c r="F45" s="80"/>
      <c r="G45" s="83"/>
      <c r="H45" s="1" t="s">
        <v>24</v>
      </c>
      <c r="I45" s="86"/>
      <c r="J45" s="86"/>
      <c r="K45" s="80"/>
      <c r="L45" s="80"/>
      <c r="M45" s="80"/>
      <c r="N45" s="80"/>
      <c r="O45" s="80"/>
      <c r="P45" s="80"/>
      <c r="Q45" s="80"/>
      <c r="R45" s="9" t="s">
        <v>25</v>
      </c>
      <c r="S45" s="9" t="s">
        <v>31</v>
      </c>
      <c r="T45" s="1" t="s">
        <v>24</v>
      </c>
      <c r="U45" s="8" t="s">
        <v>32</v>
      </c>
      <c r="W45" s="1" t="s">
        <v>22</v>
      </c>
    </row>
    <row r="46" spans="1:31" ht="15" thickBot="1" x14ac:dyDescent="0.25">
      <c r="A46" s="7">
        <v>44</v>
      </c>
      <c r="B46" s="6" t="s">
        <v>57</v>
      </c>
      <c r="C46" s="81"/>
      <c r="D46" s="81"/>
      <c r="E46" s="81"/>
      <c r="F46" s="81"/>
      <c r="G46" s="84"/>
      <c r="H46" s="5" t="s">
        <v>34</v>
      </c>
      <c r="I46" s="87"/>
      <c r="J46" s="87"/>
      <c r="K46" s="81"/>
      <c r="L46" s="81"/>
      <c r="M46" s="81"/>
      <c r="N46" s="81"/>
      <c r="O46" s="81"/>
      <c r="P46" s="81"/>
      <c r="Q46" s="81"/>
      <c r="R46" s="4" t="s">
        <v>23</v>
      </c>
      <c r="S46" s="5" t="s">
        <v>31</v>
      </c>
      <c r="T46" s="4" t="s">
        <v>24</v>
      </c>
      <c r="U46" s="3" t="s">
        <v>29</v>
      </c>
      <c r="W46" s="9" t="s">
        <v>25</v>
      </c>
    </row>
    <row r="47" spans="1:31" x14ac:dyDescent="0.2">
      <c r="C47" t="s">
        <v>166</v>
      </c>
      <c r="D47" t="s">
        <v>167</v>
      </c>
      <c r="E47" t="s">
        <v>168</v>
      </c>
      <c r="F47" t="s">
        <v>22</v>
      </c>
      <c r="G47" t="s">
        <v>169</v>
      </c>
      <c r="H47" t="s">
        <v>170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176</v>
      </c>
      <c r="O47" t="s">
        <v>177</v>
      </c>
      <c r="P47" t="s">
        <v>182</v>
      </c>
      <c r="Q47" t="s">
        <v>178</v>
      </c>
      <c r="R47" t="s">
        <v>183</v>
      </c>
      <c r="S47" t="s">
        <v>179</v>
      </c>
      <c r="T47" t="s">
        <v>180</v>
      </c>
      <c r="U47" t="s">
        <v>181</v>
      </c>
      <c r="W47" s="9" t="s">
        <v>26</v>
      </c>
    </row>
    <row r="48" spans="1:31" x14ac:dyDescent="0.2">
      <c r="B48" s="44" t="s">
        <v>109</v>
      </c>
      <c r="W48" s="1" t="s">
        <v>24</v>
      </c>
    </row>
    <row r="49" spans="23:24" x14ac:dyDescent="0.2">
      <c r="W49" s="9" t="s">
        <v>31</v>
      </c>
      <c r="X49" s="9" t="s">
        <v>34</v>
      </c>
    </row>
    <row r="50" spans="23:24" x14ac:dyDescent="0.2">
      <c r="W50" s="30" t="s">
        <v>30</v>
      </c>
    </row>
    <row r="51" spans="23:24" ht="15" thickBot="1" x14ac:dyDescent="0.25">
      <c r="W51" s="1" t="s">
        <v>29</v>
      </c>
      <c r="X51" s="38" t="s">
        <v>32</v>
      </c>
    </row>
    <row r="52" spans="23:24" x14ac:dyDescent="0.2">
      <c r="W52" s="8" t="s">
        <v>33</v>
      </c>
    </row>
    <row r="53" spans="23:24" x14ac:dyDescent="0.2">
      <c r="W53" s="1" t="s">
        <v>28</v>
      </c>
    </row>
  </sheetData>
  <mergeCells count="22">
    <mergeCell ref="M17:M46"/>
    <mergeCell ref="C5:C46"/>
    <mergeCell ref="E5:E46"/>
    <mergeCell ref="D5:D24"/>
    <mergeCell ref="D36:D46"/>
    <mergeCell ref="F17:F46"/>
    <mergeCell ref="P5:P24"/>
    <mergeCell ref="P36:P46"/>
    <mergeCell ref="Q5:Q46"/>
    <mergeCell ref="O5:O46"/>
    <mergeCell ref="G5:G16"/>
    <mergeCell ref="G25:G46"/>
    <mergeCell ref="H5:H10"/>
    <mergeCell ref="K5:K24"/>
    <mergeCell ref="K36:K46"/>
    <mergeCell ref="L5:L46"/>
    <mergeCell ref="N5:N46"/>
    <mergeCell ref="I5:I10"/>
    <mergeCell ref="I17:I46"/>
    <mergeCell ref="J17:J24"/>
    <mergeCell ref="J36:J46"/>
    <mergeCell ref="M5:M10"/>
  </mergeCells>
  <phoneticPr fontId="5" type="noConversion"/>
  <conditionalFormatting sqref="AE2:AE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5FF6-A16C-4373-B757-6F22F6724946}">
  <dimension ref="A1:X12"/>
  <sheetViews>
    <sheetView workbookViewId="0">
      <selection activeCell="A2" sqref="A2:A12"/>
    </sheetView>
  </sheetViews>
  <sheetFormatPr defaultRowHeight="14.25" x14ac:dyDescent="0.2"/>
  <cols>
    <col min="2" max="12" width="4.125" customWidth="1"/>
  </cols>
  <sheetData>
    <row r="1" spans="1:24" x14ac:dyDescent="0.2">
      <c r="B1" t="s">
        <v>23</v>
      </c>
      <c r="C1" t="s">
        <v>22</v>
      </c>
      <c r="D1" t="s">
        <v>24</v>
      </c>
      <c r="E1" t="s">
        <v>31</v>
      </c>
      <c r="F1" t="s">
        <v>34</v>
      </c>
      <c r="G1" t="s">
        <v>26</v>
      </c>
      <c r="H1" t="s">
        <v>30</v>
      </c>
      <c r="I1" t="s">
        <v>142</v>
      </c>
      <c r="J1" t="s">
        <v>144</v>
      </c>
      <c r="K1" t="s">
        <v>28</v>
      </c>
      <c r="L1" t="s">
        <v>25</v>
      </c>
      <c r="M1">
        <f>71.1/168</f>
        <v>0.42321428571428565</v>
      </c>
    </row>
    <row r="2" spans="1:24" x14ac:dyDescent="0.2">
      <c r="A2" t="s">
        <v>23</v>
      </c>
      <c r="B2">
        <v>168</v>
      </c>
      <c r="C2">
        <v>44</v>
      </c>
      <c r="D2">
        <v>41.3333333333333</v>
      </c>
      <c r="E2">
        <v>0.33333333333333298</v>
      </c>
      <c r="F2">
        <v>0.33333333333333298</v>
      </c>
      <c r="G2">
        <v>0</v>
      </c>
      <c r="H2">
        <v>0</v>
      </c>
      <c r="I2">
        <v>0</v>
      </c>
      <c r="J2">
        <v>0</v>
      </c>
      <c r="K2">
        <v>0</v>
      </c>
      <c r="L2">
        <v>26</v>
      </c>
      <c r="N2">
        <f t="shared" ref="N2:N12" si="0">B2*$M$1</f>
        <v>71.099999999999994</v>
      </c>
      <c r="O2">
        <f t="shared" ref="O2:O12" si="1">C2*$M$1</f>
        <v>18.62142857142857</v>
      </c>
      <c r="P2">
        <f t="shared" ref="P2:P12" si="2">D2*$M$1</f>
        <v>17.492857142857126</v>
      </c>
      <c r="Q2">
        <f t="shared" ref="Q2:Q12" si="3">E2*$M$1</f>
        <v>0.1410714285714284</v>
      </c>
      <c r="R2">
        <f t="shared" ref="R2:R12" si="4">F2*$M$1</f>
        <v>0.1410714285714284</v>
      </c>
      <c r="S2">
        <f t="shared" ref="S2:S12" si="5">G2*$M$1</f>
        <v>0</v>
      </c>
      <c r="T2">
        <f t="shared" ref="T2:T12" si="6">H2*$M$1</f>
        <v>0</v>
      </c>
      <c r="U2">
        <f t="shared" ref="U2:U12" si="7">I2*$M$1</f>
        <v>0</v>
      </c>
      <c r="V2">
        <f t="shared" ref="V2:V12" si="8">J2*$M$1</f>
        <v>0</v>
      </c>
      <c r="W2">
        <f t="shared" ref="W2:W12" si="9">K2*$M$1</f>
        <v>0</v>
      </c>
      <c r="X2">
        <f t="shared" ref="X2:X12" si="10">L2*$M$1</f>
        <v>11.003571428571426</v>
      </c>
    </row>
    <row r="3" spans="1:24" x14ac:dyDescent="0.2">
      <c r="A3" t="s">
        <v>22</v>
      </c>
      <c r="B3">
        <v>40</v>
      </c>
      <c r="C3">
        <v>0</v>
      </c>
      <c r="D3">
        <v>0</v>
      </c>
      <c r="E3">
        <v>0</v>
      </c>
      <c r="F3">
        <v>0</v>
      </c>
      <c r="G3">
        <v>37</v>
      </c>
      <c r="H3">
        <v>0</v>
      </c>
      <c r="I3">
        <v>0</v>
      </c>
      <c r="J3">
        <v>0</v>
      </c>
      <c r="K3">
        <v>0</v>
      </c>
      <c r="L3">
        <v>41</v>
      </c>
      <c r="N3">
        <f t="shared" si="0"/>
        <v>16.928571428571427</v>
      </c>
      <c r="O3">
        <f t="shared" si="1"/>
        <v>0</v>
      </c>
      <c r="P3">
        <f t="shared" si="2"/>
        <v>0</v>
      </c>
      <c r="Q3">
        <f t="shared" si="3"/>
        <v>0</v>
      </c>
      <c r="R3">
        <f t="shared" si="4"/>
        <v>0</v>
      </c>
      <c r="S3">
        <f t="shared" si="5"/>
        <v>15.65892857142857</v>
      </c>
      <c r="T3">
        <f t="shared" si="6"/>
        <v>0</v>
      </c>
      <c r="U3">
        <f t="shared" si="7"/>
        <v>0</v>
      </c>
      <c r="V3">
        <f t="shared" si="8"/>
        <v>0</v>
      </c>
      <c r="W3">
        <f t="shared" si="9"/>
        <v>0</v>
      </c>
      <c r="X3">
        <f t="shared" si="10"/>
        <v>17.351785714285711</v>
      </c>
    </row>
    <row r="4" spans="1:24" x14ac:dyDescent="0.2">
      <c r="A4" t="s">
        <v>24</v>
      </c>
      <c r="B4">
        <v>11</v>
      </c>
      <c r="C4">
        <v>0</v>
      </c>
      <c r="D4">
        <v>0</v>
      </c>
      <c r="E4">
        <v>42</v>
      </c>
      <c r="F4">
        <v>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f t="shared" si="0"/>
        <v>4.6553571428571425</v>
      </c>
      <c r="O4">
        <f t="shared" si="1"/>
        <v>0</v>
      </c>
      <c r="P4">
        <f t="shared" si="2"/>
        <v>0</v>
      </c>
      <c r="Q4">
        <f t="shared" si="3"/>
        <v>17.774999999999999</v>
      </c>
      <c r="R4">
        <f t="shared" si="4"/>
        <v>17.774999999999999</v>
      </c>
      <c r="S4">
        <f t="shared" si="5"/>
        <v>0</v>
      </c>
      <c r="T4">
        <f t="shared" si="6"/>
        <v>0</v>
      </c>
      <c r="U4">
        <f t="shared" si="7"/>
        <v>0</v>
      </c>
      <c r="V4">
        <f t="shared" si="8"/>
        <v>0</v>
      </c>
      <c r="W4">
        <f t="shared" si="9"/>
        <v>0</v>
      </c>
      <c r="X4">
        <f t="shared" si="10"/>
        <v>0</v>
      </c>
    </row>
    <row r="5" spans="1:24" x14ac:dyDescent="0.2">
      <c r="A5" t="s">
        <v>31</v>
      </c>
      <c r="B5">
        <v>1.6666666666666701</v>
      </c>
      <c r="C5">
        <v>0</v>
      </c>
      <c r="D5">
        <v>6.6666666666666696</v>
      </c>
      <c r="E5">
        <v>0</v>
      </c>
      <c r="F5">
        <v>6.6666666666666696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f t="shared" si="0"/>
        <v>0.70535714285714424</v>
      </c>
      <c r="O5">
        <f t="shared" si="1"/>
        <v>0</v>
      </c>
      <c r="P5">
        <f t="shared" si="2"/>
        <v>2.8214285714285721</v>
      </c>
      <c r="Q5">
        <f t="shared" si="3"/>
        <v>0</v>
      </c>
      <c r="R5">
        <f t="shared" si="4"/>
        <v>2.8214285714285721</v>
      </c>
      <c r="S5">
        <f t="shared" si="5"/>
        <v>0</v>
      </c>
      <c r="T5">
        <f t="shared" si="6"/>
        <v>0</v>
      </c>
      <c r="U5">
        <f t="shared" si="7"/>
        <v>0</v>
      </c>
      <c r="V5">
        <f t="shared" si="8"/>
        <v>0</v>
      </c>
      <c r="W5">
        <f t="shared" si="9"/>
        <v>0</v>
      </c>
      <c r="X5">
        <f t="shared" si="10"/>
        <v>0</v>
      </c>
    </row>
    <row r="6" spans="1:24" x14ac:dyDescent="0.2">
      <c r="A6" t="s">
        <v>34</v>
      </c>
      <c r="B6">
        <v>2</v>
      </c>
      <c r="C6">
        <v>0</v>
      </c>
      <c r="D6">
        <v>7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f t="shared" si="0"/>
        <v>0.84642857142857131</v>
      </c>
      <c r="O6">
        <f t="shared" si="1"/>
        <v>0</v>
      </c>
      <c r="P6">
        <f t="shared" si="2"/>
        <v>2.9624999999999995</v>
      </c>
      <c r="Q6">
        <f t="shared" si="3"/>
        <v>2.9624999999999995</v>
      </c>
      <c r="R6">
        <f t="shared" si="4"/>
        <v>0</v>
      </c>
      <c r="S6">
        <f t="shared" si="5"/>
        <v>0</v>
      </c>
      <c r="T6">
        <f t="shared" si="6"/>
        <v>0</v>
      </c>
      <c r="U6">
        <f t="shared" si="7"/>
        <v>0</v>
      </c>
      <c r="V6">
        <f t="shared" si="8"/>
        <v>0</v>
      </c>
      <c r="W6">
        <f t="shared" si="9"/>
        <v>0</v>
      </c>
      <c r="X6">
        <f t="shared" si="10"/>
        <v>0</v>
      </c>
    </row>
    <row r="7" spans="1:24" x14ac:dyDescent="0.2">
      <c r="A7" t="s">
        <v>26</v>
      </c>
      <c r="B7">
        <v>0</v>
      </c>
      <c r="C7">
        <v>5</v>
      </c>
      <c r="D7">
        <v>0</v>
      </c>
      <c r="E7">
        <v>0</v>
      </c>
      <c r="F7">
        <v>0</v>
      </c>
      <c r="G7">
        <v>42</v>
      </c>
      <c r="H7">
        <v>0</v>
      </c>
      <c r="I7">
        <v>0</v>
      </c>
      <c r="J7">
        <v>0</v>
      </c>
      <c r="K7">
        <v>0</v>
      </c>
      <c r="L7">
        <v>0</v>
      </c>
      <c r="N7">
        <f t="shared" si="0"/>
        <v>0</v>
      </c>
      <c r="O7">
        <f t="shared" si="1"/>
        <v>2.1160714285714284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17.774999999999999</v>
      </c>
      <c r="T7">
        <f t="shared" si="6"/>
        <v>0</v>
      </c>
      <c r="U7">
        <f t="shared" si="7"/>
        <v>0</v>
      </c>
      <c r="V7">
        <f t="shared" si="8"/>
        <v>0</v>
      </c>
      <c r="W7">
        <f t="shared" si="9"/>
        <v>0</v>
      </c>
      <c r="X7">
        <f t="shared" si="10"/>
        <v>0</v>
      </c>
    </row>
    <row r="8" spans="1:24" x14ac:dyDescent="0.2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45</v>
      </c>
      <c r="N8">
        <f t="shared" si="0"/>
        <v>0</v>
      </c>
      <c r="O8">
        <f t="shared" si="1"/>
        <v>0</v>
      </c>
      <c r="P8">
        <f t="shared" si="2"/>
        <v>0</v>
      </c>
      <c r="Q8">
        <f t="shared" si="3"/>
        <v>0</v>
      </c>
      <c r="R8">
        <f t="shared" si="4"/>
        <v>0</v>
      </c>
      <c r="S8">
        <f t="shared" si="5"/>
        <v>0</v>
      </c>
      <c r="T8">
        <f t="shared" si="6"/>
        <v>0</v>
      </c>
      <c r="U8">
        <f t="shared" si="7"/>
        <v>0</v>
      </c>
      <c r="V8">
        <f t="shared" si="8"/>
        <v>0</v>
      </c>
      <c r="W8">
        <f t="shared" si="9"/>
        <v>0</v>
      </c>
      <c r="X8">
        <f t="shared" si="10"/>
        <v>19.044642857142854</v>
      </c>
    </row>
    <row r="9" spans="1:24" x14ac:dyDescent="0.2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41</v>
      </c>
      <c r="K9">
        <v>0</v>
      </c>
      <c r="L9">
        <v>0</v>
      </c>
      <c r="N9">
        <f t="shared" si="0"/>
        <v>0</v>
      </c>
      <c r="O9">
        <f t="shared" si="1"/>
        <v>0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  <c r="T9">
        <f t="shared" si="6"/>
        <v>0</v>
      </c>
      <c r="U9">
        <f t="shared" si="7"/>
        <v>0</v>
      </c>
      <c r="V9">
        <f t="shared" si="8"/>
        <v>17.351785714285711</v>
      </c>
      <c r="W9">
        <f t="shared" si="9"/>
        <v>0</v>
      </c>
      <c r="X9">
        <f t="shared" si="10"/>
        <v>0</v>
      </c>
    </row>
    <row r="10" spans="1:24" x14ac:dyDescent="0.2">
      <c r="A10" t="s">
        <v>144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N10">
        <f t="shared" si="0"/>
        <v>0</v>
      </c>
      <c r="O10">
        <f t="shared" si="1"/>
        <v>0</v>
      </c>
      <c r="P10">
        <f t="shared" si="2"/>
        <v>0</v>
      </c>
      <c r="Q10">
        <f t="shared" si="3"/>
        <v>0</v>
      </c>
      <c r="R10">
        <f t="shared" si="4"/>
        <v>0</v>
      </c>
      <c r="S10">
        <f t="shared" si="5"/>
        <v>0</v>
      </c>
      <c r="T10">
        <f t="shared" si="6"/>
        <v>0</v>
      </c>
      <c r="U10">
        <f t="shared" si="7"/>
        <v>0.42321428571428565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2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42</v>
      </c>
      <c r="L11">
        <v>0</v>
      </c>
      <c r="N11">
        <f t="shared" si="0"/>
        <v>0</v>
      </c>
      <c r="O11">
        <f t="shared" si="1"/>
        <v>0</v>
      </c>
      <c r="P11">
        <f t="shared" si="2"/>
        <v>0</v>
      </c>
      <c r="Q11">
        <f t="shared" si="3"/>
        <v>0</v>
      </c>
      <c r="R11">
        <f t="shared" si="4"/>
        <v>0</v>
      </c>
      <c r="S11">
        <f t="shared" si="5"/>
        <v>0</v>
      </c>
      <c r="T11">
        <f t="shared" si="6"/>
        <v>0</v>
      </c>
      <c r="U11">
        <f t="shared" si="7"/>
        <v>0</v>
      </c>
      <c r="V11">
        <f t="shared" si="8"/>
        <v>0</v>
      </c>
      <c r="W11">
        <f t="shared" si="9"/>
        <v>17.774999999999999</v>
      </c>
      <c r="X11">
        <f t="shared" si="10"/>
        <v>0</v>
      </c>
    </row>
    <row r="12" spans="1:24" x14ac:dyDescent="0.2">
      <c r="A12" t="s">
        <v>25</v>
      </c>
      <c r="B12">
        <v>16</v>
      </c>
      <c r="C12">
        <v>43</v>
      </c>
      <c r="D12">
        <v>0</v>
      </c>
      <c r="E12">
        <v>0</v>
      </c>
      <c r="F12">
        <v>0</v>
      </c>
      <c r="G12">
        <v>0</v>
      </c>
      <c r="H12">
        <v>39</v>
      </c>
      <c r="I12">
        <v>0</v>
      </c>
      <c r="J12">
        <v>0</v>
      </c>
      <c r="K12">
        <v>0</v>
      </c>
      <c r="L12">
        <v>0</v>
      </c>
      <c r="N12">
        <f t="shared" si="0"/>
        <v>6.7714285714285705</v>
      </c>
      <c r="O12">
        <f t="shared" si="1"/>
        <v>18.198214285714283</v>
      </c>
      <c r="P12">
        <f t="shared" si="2"/>
        <v>0</v>
      </c>
      <c r="Q12">
        <f t="shared" si="3"/>
        <v>0</v>
      </c>
      <c r="R12">
        <f t="shared" si="4"/>
        <v>0</v>
      </c>
      <c r="S12">
        <f t="shared" si="5"/>
        <v>0</v>
      </c>
      <c r="T12">
        <f t="shared" si="6"/>
        <v>16.50535714285714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05AE-8FB5-46C0-BA45-AF0C34A198BB}">
  <dimension ref="A1:T130"/>
  <sheetViews>
    <sheetView workbookViewId="0">
      <selection activeCell="Q31" sqref="Q31"/>
    </sheetView>
  </sheetViews>
  <sheetFormatPr defaultRowHeight="14.25" x14ac:dyDescent="0.2"/>
  <cols>
    <col min="1" max="1" width="9.125" bestFit="1" customWidth="1"/>
    <col min="2" max="6" width="5.375" customWidth="1"/>
    <col min="7" max="7" width="5.125" customWidth="1"/>
    <col min="8" max="20" width="5.375" customWidth="1"/>
    <col min="23" max="33" width="4.375" customWidth="1"/>
  </cols>
  <sheetData>
    <row r="1" spans="1:20" ht="15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">
      <c r="A2" s="45" t="s">
        <v>21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15" thickBot="1" x14ac:dyDescent="0.25">
      <c r="A3" s="46" t="s">
        <v>23</v>
      </c>
      <c r="B3">
        <v>0</v>
      </c>
      <c r="C3">
        <v>0</v>
      </c>
      <c r="D3">
        <v>1</v>
      </c>
      <c r="E3">
        <v>0</v>
      </c>
      <c r="F3">
        <v>7.1428571428571397E-2</v>
      </c>
      <c r="G3">
        <v>2.3809523809523801E-2</v>
      </c>
      <c r="H3">
        <v>0.97619047619047605</v>
      </c>
      <c r="I3">
        <v>0</v>
      </c>
      <c r="J3">
        <v>0.97619047619047605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0.61904761904761896</v>
      </c>
      <c r="R3">
        <v>0</v>
      </c>
      <c r="S3">
        <v>0</v>
      </c>
      <c r="T3">
        <v>0</v>
      </c>
    </row>
    <row r="4" spans="1:20" x14ac:dyDescent="0.2">
      <c r="A4" t="s">
        <v>22</v>
      </c>
      <c r="B4">
        <v>0</v>
      </c>
      <c r="C4">
        <v>0.952380952380952</v>
      </c>
      <c r="D4">
        <v>0</v>
      </c>
      <c r="E4">
        <v>0.88095238095238104</v>
      </c>
      <c r="F4">
        <v>0.92857142857142905</v>
      </c>
      <c r="G4">
        <v>0</v>
      </c>
      <c r="H4">
        <v>0</v>
      </c>
      <c r="I4">
        <v>0</v>
      </c>
      <c r="J4">
        <v>2.3809523809523801E-2</v>
      </c>
      <c r="K4">
        <v>0</v>
      </c>
      <c r="L4">
        <v>0</v>
      </c>
      <c r="M4">
        <v>0</v>
      </c>
      <c r="N4">
        <v>0</v>
      </c>
      <c r="O4">
        <v>2.3809523809523801E-2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15" thickBot="1" x14ac:dyDescent="0.25">
      <c r="A5" t="s">
        <v>131</v>
      </c>
      <c r="B5">
        <v>0</v>
      </c>
      <c r="C5">
        <v>0</v>
      </c>
      <c r="D5">
        <v>0</v>
      </c>
      <c r="E5">
        <v>0</v>
      </c>
      <c r="F5">
        <v>0</v>
      </c>
      <c r="G5">
        <v>0.71428571428571397</v>
      </c>
      <c r="H5">
        <v>2.3809523809523801E-2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0.61904761904761896</v>
      </c>
      <c r="S5">
        <v>0.90476190476190499</v>
      </c>
      <c r="T5">
        <v>0</v>
      </c>
    </row>
    <row r="6" spans="1:20" x14ac:dyDescent="0.2">
      <c r="A6" s="45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0.119047619047619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0.19047619047618999</v>
      </c>
      <c r="S6">
        <v>4.7619047619047603E-2</v>
      </c>
      <c r="T6">
        <v>0</v>
      </c>
    </row>
    <row r="7" spans="1:20" ht="15" thickBot="1" x14ac:dyDescent="0.25">
      <c r="A7" s="46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0.14285714285714299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0.19047619047618999</v>
      </c>
      <c r="S7">
        <v>4.7619047619047603E-2</v>
      </c>
      <c r="T7">
        <v>0</v>
      </c>
    </row>
    <row r="8" spans="1:20" x14ac:dyDescent="0.2">
      <c r="A8" t="s">
        <v>128</v>
      </c>
      <c r="B8">
        <v>0</v>
      </c>
      <c r="C8">
        <v>0</v>
      </c>
      <c r="D8">
        <v>0</v>
      </c>
      <c r="E8">
        <v>0.119047619047619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15" thickBot="1" x14ac:dyDescent="0.25">
      <c r="A9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9.5238095238095205E-2</v>
      </c>
      <c r="J9">
        <v>0</v>
      </c>
      <c r="K9">
        <v>0</v>
      </c>
      <c r="L9">
        <v>0.97619047619047605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">
      <c r="A10" s="45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0.71428571428571397</v>
      </c>
    </row>
    <row r="11" spans="1:20" ht="15" thickBot="1" x14ac:dyDescent="0.25">
      <c r="A11" s="46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0.26190476190476197</v>
      </c>
    </row>
    <row r="12" spans="1:20" x14ac:dyDescent="0.2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2.3809523809523801E-2</v>
      </c>
    </row>
    <row r="14" spans="1:20" ht="15" thickBot="1" x14ac:dyDescent="0.25">
      <c r="A14" t="s">
        <v>126</v>
      </c>
      <c r="B14">
        <v>0</v>
      </c>
      <c r="C14">
        <v>4.7619047619047603E-2</v>
      </c>
      <c r="D14">
        <v>0</v>
      </c>
      <c r="E14">
        <v>0</v>
      </c>
      <c r="F14">
        <v>0</v>
      </c>
      <c r="G14">
        <v>0</v>
      </c>
      <c r="H14">
        <v>0</v>
      </c>
      <c r="I14">
        <v>0.90476190476190499</v>
      </c>
      <c r="J14">
        <v>0</v>
      </c>
      <c r="K14">
        <v>0</v>
      </c>
      <c r="L14">
        <v>2.3809523809523801E-2</v>
      </c>
      <c r="M14">
        <v>0</v>
      </c>
      <c r="N14">
        <v>0</v>
      </c>
      <c r="O14">
        <v>0.97619047619047605</v>
      </c>
      <c r="P14">
        <v>0</v>
      </c>
      <c r="Q14">
        <v>0.38095238095238099</v>
      </c>
      <c r="R14">
        <v>0</v>
      </c>
      <c r="S14">
        <v>0</v>
      </c>
      <c r="T14">
        <v>0</v>
      </c>
    </row>
    <row r="15" spans="1:20" ht="15" thickBot="1" x14ac:dyDescent="0.25">
      <c r="B15" t="s">
        <v>125</v>
      </c>
      <c r="C15" t="s">
        <v>127</v>
      </c>
      <c r="D15" t="s">
        <v>125</v>
      </c>
      <c r="E15" t="s">
        <v>129</v>
      </c>
      <c r="F15" t="s">
        <v>130</v>
      </c>
      <c r="G15" t="s">
        <v>132</v>
      </c>
      <c r="H15" s="46" t="s">
        <v>133</v>
      </c>
      <c r="I15" t="s">
        <v>138</v>
      </c>
      <c r="J15" s="46" t="s">
        <v>134</v>
      </c>
      <c r="K15" t="s">
        <v>26</v>
      </c>
      <c r="L15" t="s">
        <v>135</v>
      </c>
      <c r="M15" t="s">
        <v>125</v>
      </c>
      <c r="N15" t="s">
        <v>28</v>
      </c>
      <c r="O15" t="s">
        <v>136</v>
      </c>
      <c r="P15" s="46" t="s">
        <v>23</v>
      </c>
      <c r="Q15" s="46" t="s">
        <v>137</v>
      </c>
      <c r="R15" s="49" t="s">
        <v>139</v>
      </c>
      <c r="S15" s="49" t="s">
        <v>140</v>
      </c>
      <c r="T15" s="45" t="s">
        <v>141</v>
      </c>
    </row>
    <row r="18" spans="1:15" x14ac:dyDescent="0.2">
      <c r="B18" t="s">
        <v>111</v>
      </c>
    </row>
    <row r="19" spans="1:15" ht="15" thickBot="1" x14ac:dyDescent="0.25"/>
    <row r="20" spans="1:15" ht="15" thickBot="1" x14ac:dyDescent="0.25">
      <c r="B20" s="45" t="s">
        <v>21</v>
      </c>
      <c r="C20" s="46" t="s">
        <v>23</v>
      </c>
      <c r="D20" t="s">
        <v>22</v>
      </c>
      <c r="E20" t="s">
        <v>24</v>
      </c>
      <c r="F20" s="45" t="s">
        <v>31</v>
      </c>
      <c r="G20" s="46" t="s">
        <v>34</v>
      </c>
      <c r="H20" t="s">
        <v>26</v>
      </c>
      <c r="I20" t="s">
        <v>30</v>
      </c>
      <c r="J20" s="45" t="s">
        <v>29</v>
      </c>
      <c r="K20" s="46" t="s">
        <v>32</v>
      </c>
      <c r="L20" s="47" t="s">
        <v>33</v>
      </c>
      <c r="M20" t="s">
        <v>28</v>
      </c>
      <c r="N20" t="s">
        <v>25</v>
      </c>
    </row>
    <row r="21" spans="1:15" x14ac:dyDescent="0.2">
      <c r="A21" s="45" t="s">
        <v>21</v>
      </c>
      <c r="B21">
        <f>B2</f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COUNTIF(B21:N33,K14)</f>
        <v>137</v>
      </c>
    </row>
    <row r="22" spans="1:15" ht="15" thickBot="1" x14ac:dyDescent="0.25">
      <c r="A22" s="46" t="s">
        <v>23</v>
      </c>
      <c r="B22">
        <v>0</v>
      </c>
      <c r="C22">
        <f>D3+M3+P3</f>
        <v>3</v>
      </c>
      <c r="D22">
        <f>F3+J3</f>
        <v>1.0476190476190474</v>
      </c>
      <c r="E22">
        <f>G3/3+H3</f>
        <v>0.98412698412698396</v>
      </c>
      <c r="F22">
        <f>G3/3</f>
        <v>7.9365079365079343E-3</v>
      </c>
      <c r="G22">
        <f>G3/3</f>
        <v>7.9365079365079343E-3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>Q3</f>
        <v>0.61904761904761896</v>
      </c>
    </row>
    <row r="23" spans="1:15" x14ac:dyDescent="0.2">
      <c r="A23" t="s">
        <v>22</v>
      </c>
      <c r="B23">
        <v>0</v>
      </c>
      <c r="C23">
        <f>F4+J4</f>
        <v>0.95238095238095288</v>
      </c>
      <c r="D23">
        <v>0</v>
      </c>
      <c r="E23">
        <v>0</v>
      </c>
      <c r="F23">
        <v>0</v>
      </c>
      <c r="G23">
        <v>0</v>
      </c>
      <c r="H23">
        <f>E4</f>
        <v>0.88095238095238104</v>
      </c>
      <c r="I23">
        <v>0</v>
      </c>
      <c r="J23">
        <v>0</v>
      </c>
      <c r="K23">
        <v>0</v>
      </c>
      <c r="L23">
        <v>0</v>
      </c>
      <c r="M23">
        <v>0</v>
      </c>
      <c r="N23">
        <f>O4+C4</f>
        <v>0.97619047619047583</v>
      </c>
    </row>
    <row r="24" spans="1:15" ht="15" thickBot="1" x14ac:dyDescent="0.25">
      <c r="A24" t="s">
        <v>24</v>
      </c>
      <c r="B24">
        <v>0</v>
      </c>
      <c r="C24">
        <f>G5/3+H5</f>
        <v>0.26190476190476181</v>
      </c>
      <c r="D24">
        <v>0</v>
      </c>
      <c r="E24">
        <v>0</v>
      </c>
      <c r="F24">
        <f>G5/3+R5/2+S5/2</f>
        <v>1</v>
      </c>
      <c r="G24">
        <f>G5/3+R5/2+S5/2</f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 x14ac:dyDescent="0.2">
      <c r="A25" s="45" t="s">
        <v>31</v>
      </c>
      <c r="B25">
        <v>0</v>
      </c>
      <c r="C25">
        <f>G6/3</f>
        <v>3.9682539682539666E-2</v>
      </c>
      <c r="D25">
        <v>0</v>
      </c>
      <c r="E25">
        <f>G6/3+R6/2+S6/2</f>
        <v>0.15873015873015847</v>
      </c>
      <c r="F25">
        <v>0</v>
      </c>
      <c r="G25">
        <f>G6/3+R7/2+S7/2</f>
        <v>0.15873015873015847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 ht="15" thickBot="1" x14ac:dyDescent="0.25">
      <c r="A26" s="46" t="s">
        <v>34</v>
      </c>
      <c r="B26">
        <v>0</v>
      </c>
      <c r="C26">
        <f>G7/3</f>
        <v>4.7619047619047665E-2</v>
      </c>
      <c r="D26">
        <v>0</v>
      </c>
      <c r="E26">
        <f>G7/3+R7/2+S7/2</f>
        <v>0.16666666666666646</v>
      </c>
      <c r="F26">
        <f>G7/3+R7/2+S7/2</f>
        <v>0.16666666666666646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 x14ac:dyDescent="0.2">
      <c r="A27" t="s">
        <v>26</v>
      </c>
      <c r="B27">
        <v>0</v>
      </c>
      <c r="C27">
        <v>0</v>
      </c>
      <c r="D27">
        <f>E8</f>
        <v>0.119047619047619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 ht="15" thickBot="1" x14ac:dyDescent="0.25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f>I9+L9</f>
        <v>1.0714285714285712</v>
      </c>
    </row>
    <row r="29" spans="1:15" x14ac:dyDescent="0.2">
      <c r="A29" s="45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>T10/2</f>
        <v>0.35714285714285698</v>
      </c>
      <c r="L29">
        <f>T10/2</f>
        <v>0.35714285714285698</v>
      </c>
      <c r="M29">
        <v>0</v>
      </c>
      <c r="N29">
        <v>0</v>
      </c>
    </row>
    <row r="30" spans="1:15" ht="15" thickBot="1" x14ac:dyDescent="0.25">
      <c r="A30" s="46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f>T11/2</f>
        <v>0.13095238095238099</v>
      </c>
      <c r="K30">
        <v>0</v>
      </c>
      <c r="L30">
        <f>T11/2</f>
        <v>0.13095238095238099</v>
      </c>
      <c r="M30">
        <v>0</v>
      </c>
      <c r="N30">
        <v>0</v>
      </c>
    </row>
    <row r="31" spans="1:15" x14ac:dyDescent="0.2">
      <c r="A31" s="47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f>T13/2</f>
        <v>1.1904761904761901E-2</v>
      </c>
      <c r="K31">
        <f>T13/2</f>
        <v>1.1904761904761901E-2</v>
      </c>
      <c r="L31">
        <v>0</v>
      </c>
      <c r="M31">
        <v>0</v>
      </c>
      <c r="N31">
        <v>0</v>
      </c>
    </row>
    <row r="32" spans="1:15" x14ac:dyDescent="0.2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 x14ac:dyDescent="0.2">
      <c r="A33" t="s">
        <v>25</v>
      </c>
      <c r="B33">
        <v>0</v>
      </c>
      <c r="C33">
        <f>Q14</f>
        <v>0.38095238095238099</v>
      </c>
      <c r="D33">
        <f>O14+C14</f>
        <v>1.0238095238095237</v>
      </c>
      <c r="E33">
        <v>0</v>
      </c>
      <c r="F33">
        <v>0</v>
      </c>
      <c r="G33">
        <v>0</v>
      </c>
      <c r="H33">
        <v>0</v>
      </c>
      <c r="I33">
        <f>I14+L14</f>
        <v>0.92857142857142883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ht="15" thickBot="1" x14ac:dyDescent="0.25"/>
    <row r="35" spans="1:14" x14ac:dyDescent="0.2">
      <c r="A35" s="45" t="s">
        <v>21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ht="15" thickBot="1" x14ac:dyDescent="0.25">
      <c r="A36" s="46" t="s">
        <v>23</v>
      </c>
      <c r="B36">
        <v>0</v>
      </c>
      <c r="C36">
        <v>3</v>
      </c>
      <c r="D36">
        <v>1.0476190476190499</v>
      </c>
      <c r="E36">
        <v>0.98412698412698396</v>
      </c>
      <c r="F36">
        <v>7.9365079365079395E-3</v>
      </c>
      <c r="G36">
        <v>7.9365079365079395E-3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0.61904761904761896</v>
      </c>
    </row>
    <row r="37" spans="1:14" x14ac:dyDescent="0.2">
      <c r="A37" t="s">
        <v>22</v>
      </c>
      <c r="B37">
        <v>0</v>
      </c>
      <c r="C37">
        <v>0.952380952380952</v>
      </c>
      <c r="D37">
        <v>0</v>
      </c>
      <c r="E37">
        <v>0</v>
      </c>
      <c r="F37">
        <v>0</v>
      </c>
      <c r="G37">
        <v>0</v>
      </c>
      <c r="H37">
        <v>0.88095238095238104</v>
      </c>
      <c r="I37">
        <v>0</v>
      </c>
      <c r="J37">
        <v>0</v>
      </c>
      <c r="K37">
        <v>0</v>
      </c>
      <c r="L37">
        <v>0</v>
      </c>
      <c r="M37">
        <v>0</v>
      </c>
      <c r="N37">
        <v>0.97619047619047605</v>
      </c>
    </row>
    <row r="38" spans="1:14" ht="15" thickBot="1" x14ac:dyDescent="0.25">
      <c r="A38" t="s">
        <v>24</v>
      </c>
      <c r="B38">
        <v>0</v>
      </c>
      <c r="C38">
        <v>0.26190476190476197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s="45" t="s">
        <v>31</v>
      </c>
      <c r="B39">
        <v>0</v>
      </c>
      <c r="C39">
        <v>3.9682539682539701E-2</v>
      </c>
      <c r="D39">
        <v>0</v>
      </c>
      <c r="E39">
        <v>0.158730158730159</v>
      </c>
      <c r="F39">
        <v>0</v>
      </c>
      <c r="G39">
        <v>0.158730158730159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ht="15" thickBot="1" x14ac:dyDescent="0.25">
      <c r="A40" s="46" t="s">
        <v>34</v>
      </c>
      <c r="B40">
        <v>0</v>
      </c>
      <c r="C40">
        <v>4.7619047619047603E-2</v>
      </c>
      <c r="D40">
        <v>0</v>
      </c>
      <c r="E40">
        <v>0.16666666666666699</v>
      </c>
      <c r="F40">
        <v>0.16666666666666699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26</v>
      </c>
      <c r="B41">
        <v>0</v>
      </c>
      <c r="C41">
        <v>0</v>
      </c>
      <c r="D41">
        <v>0.119047619047619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ht="15" thickBot="1" x14ac:dyDescent="0.25">
      <c r="A42" t="s">
        <v>30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1.0714285714285701</v>
      </c>
    </row>
    <row r="43" spans="1:14" x14ac:dyDescent="0.2">
      <c r="A43" s="45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0.35714285714285698</v>
      </c>
      <c r="L43">
        <v>0.35714285714285698</v>
      </c>
      <c r="M43">
        <v>0</v>
      </c>
      <c r="N43">
        <v>0</v>
      </c>
    </row>
    <row r="44" spans="1:14" ht="15" thickBot="1" x14ac:dyDescent="0.25">
      <c r="A44" s="46" t="s">
        <v>32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0.13095238095238099</v>
      </c>
      <c r="K44">
        <v>0</v>
      </c>
      <c r="L44">
        <v>0.13095238095238099</v>
      </c>
      <c r="M44">
        <v>0</v>
      </c>
      <c r="N44">
        <v>0</v>
      </c>
    </row>
    <row r="45" spans="1:14" x14ac:dyDescent="0.2">
      <c r="A45" s="48" t="s">
        <v>33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1.1904761904761901E-2</v>
      </c>
      <c r="K45">
        <v>1.1904761904761901E-2</v>
      </c>
      <c r="L45">
        <v>0</v>
      </c>
      <c r="M45">
        <v>0</v>
      </c>
      <c r="N45">
        <v>0</v>
      </c>
    </row>
    <row r="46" spans="1:14" x14ac:dyDescent="0.2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</row>
    <row r="47" spans="1:14" x14ac:dyDescent="0.2">
      <c r="A47" t="s">
        <v>25</v>
      </c>
      <c r="B47">
        <v>0</v>
      </c>
      <c r="C47">
        <v>0.38095238095238099</v>
      </c>
      <c r="D47">
        <v>1.02380952380952</v>
      </c>
      <c r="E47">
        <v>0</v>
      </c>
      <c r="F47">
        <v>0</v>
      </c>
      <c r="G47">
        <v>0</v>
      </c>
      <c r="H47">
        <v>0</v>
      </c>
      <c r="I47">
        <v>0.92857142857142905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ht="15" thickBot="1" x14ac:dyDescent="0.25"/>
    <row r="49" spans="1:14" x14ac:dyDescent="0.2">
      <c r="A49" s="45" t="s">
        <v>21</v>
      </c>
      <c r="B49">
        <v>42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ht="15" thickBot="1" x14ac:dyDescent="0.25">
      <c r="A50" s="46" t="s">
        <v>23</v>
      </c>
      <c r="B50">
        <v>0</v>
      </c>
      <c r="C50">
        <v>126</v>
      </c>
      <c r="D50">
        <v>44</v>
      </c>
      <c r="E50">
        <v>41.3333333333333</v>
      </c>
      <c r="F50">
        <v>0.33333333333333298</v>
      </c>
      <c r="G50">
        <v>0.33333333333333298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26</v>
      </c>
    </row>
    <row r="51" spans="1:14" x14ac:dyDescent="0.2">
      <c r="A51" t="s">
        <v>22</v>
      </c>
      <c r="B51">
        <v>0</v>
      </c>
      <c r="C51">
        <v>40</v>
      </c>
      <c r="D51">
        <v>0</v>
      </c>
      <c r="E51">
        <v>0</v>
      </c>
      <c r="F51">
        <v>0</v>
      </c>
      <c r="G51">
        <v>0</v>
      </c>
      <c r="H51">
        <v>37</v>
      </c>
      <c r="I51">
        <v>0</v>
      </c>
      <c r="J51">
        <v>0</v>
      </c>
      <c r="K51">
        <v>0</v>
      </c>
      <c r="L51">
        <v>0</v>
      </c>
      <c r="M51">
        <v>0</v>
      </c>
      <c r="N51">
        <v>41</v>
      </c>
    </row>
    <row r="52" spans="1:14" ht="15" thickBot="1" x14ac:dyDescent="0.25">
      <c r="A52" t="s">
        <v>24</v>
      </c>
      <c r="B52">
        <v>0</v>
      </c>
      <c r="C52">
        <v>11</v>
      </c>
      <c r="D52">
        <v>0</v>
      </c>
      <c r="E52">
        <v>0</v>
      </c>
      <c r="F52">
        <v>42</v>
      </c>
      <c r="G52">
        <v>42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s="45" t="s">
        <v>31</v>
      </c>
      <c r="B53">
        <v>0</v>
      </c>
      <c r="C53">
        <v>1.6666666666666701</v>
      </c>
      <c r="D53">
        <v>0</v>
      </c>
      <c r="E53">
        <v>6.6666666666666696</v>
      </c>
      <c r="F53">
        <v>0</v>
      </c>
      <c r="G53">
        <v>6.6666666666666696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ht="15" thickBot="1" x14ac:dyDescent="0.25">
      <c r="A54" s="46" t="s">
        <v>34</v>
      </c>
      <c r="B54">
        <v>0</v>
      </c>
      <c r="C54">
        <v>2</v>
      </c>
      <c r="D54">
        <v>0</v>
      </c>
      <c r="E54">
        <v>7</v>
      </c>
      <c r="F54">
        <v>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26</v>
      </c>
      <c r="B55">
        <v>0</v>
      </c>
      <c r="C55">
        <v>0</v>
      </c>
      <c r="D55">
        <v>5</v>
      </c>
      <c r="E55">
        <v>0</v>
      </c>
      <c r="F55">
        <v>0</v>
      </c>
      <c r="G55">
        <v>0</v>
      </c>
      <c r="H55">
        <v>42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ht="15" thickBot="1" x14ac:dyDescent="0.25">
      <c r="A56" t="s">
        <v>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45</v>
      </c>
    </row>
    <row r="57" spans="1:14" x14ac:dyDescent="0.2">
      <c r="A57" s="45" t="s">
        <v>29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15</v>
      </c>
      <c r="L57">
        <v>15</v>
      </c>
      <c r="M57">
        <v>0</v>
      </c>
      <c r="N57">
        <v>0</v>
      </c>
    </row>
    <row r="58" spans="1:14" ht="15" thickBot="1" x14ac:dyDescent="0.25">
      <c r="A58" s="46" t="s">
        <v>32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5.5</v>
      </c>
      <c r="K58">
        <v>0</v>
      </c>
      <c r="L58">
        <v>5.5</v>
      </c>
      <c r="M58">
        <v>0</v>
      </c>
      <c r="N58">
        <v>0</v>
      </c>
    </row>
    <row r="59" spans="1:14" x14ac:dyDescent="0.2">
      <c r="A59" s="47" t="s">
        <v>33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0.5</v>
      </c>
      <c r="K59">
        <v>0.5</v>
      </c>
      <c r="L59">
        <v>0</v>
      </c>
      <c r="M59">
        <v>0</v>
      </c>
      <c r="N59">
        <v>0</v>
      </c>
    </row>
    <row r="60" spans="1:14" x14ac:dyDescent="0.2">
      <c r="A60" t="s">
        <v>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42</v>
      </c>
      <c r="N60">
        <v>0</v>
      </c>
    </row>
    <row r="61" spans="1:14" x14ac:dyDescent="0.2">
      <c r="A61" t="s">
        <v>25</v>
      </c>
      <c r="B61">
        <v>0</v>
      </c>
      <c r="C61">
        <v>16</v>
      </c>
      <c r="D61">
        <v>43</v>
      </c>
      <c r="E61">
        <v>0</v>
      </c>
      <c r="F61">
        <v>0</v>
      </c>
      <c r="G61">
        <v>0</v>
      </c>
      <c r="H61">
        <v>0</v>
      </c>
      <c r="I61">
        <v>39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ht="15" thickBot="1" x14ac:dyDescent="0.25"/>
    <row r="63" spans="1:14" x14ac:dyDescent="0.2">
      <c r="A63" s="45" t="s">
        <v>21</v>
      </c>
      <c r="B63">
        <v>2.6232492903978999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ht="15" thickBot="1" x14ac:dyDescent="0.25">
      <c r="A64" s="46" t="s">
        <v>23</v>
      </c>
      <c r="B64">
        <v>0</v>
      </c>
      <c r="C64">
        <v>3.1003705451175598</v>
      </c>
      <c r="D64">
        <v>2.6434526764861901</v>
      </c>
      <c r="E64">
        <v>2.6163004304425699</v>
      </c>
      <c r="F64">
        <v>0.52287874528033795</v>
      </c>
      <c r="G64">
        <v>0.52287874528033795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2.41497334797082</v>
      </c>
    </row>
    <row r="65" spans="1:14" x14ac:dyDescent="0.2">
      <c r="A65" t="s">
        <v>22</v>
      </c>
      <c r="B65">
        <v>0</v>
      </c>
      <c r="C65">
        <v>2.6020599913279598</v>
      </c>
      <c r="D65">
        <v>0</v>
      </c>
      <c r="E65">
        <v>0</v>
      </c>
      <c r="F65">
        <v>0</v>
      </c>
      <c r="G65">
        <v>0</v>
      </c>
      <c r="H65">
        <v>2.5682017240669999</v>
      </c>
      <c r="I65">
        <v>0</v>
      </c>
      <c r="J65">
        <v>0</v>
      </c>
      <c r="K65">
        <v>0</v>
      </c>
      <c r="L65">
        <v>0</v>
      </c>
      <c r="M65">
        <v>0</v>
      </c>
      <c r="N65">
        <v>2.6127838567197399</v>
      </c>
    </row>
    <row r="66" spans="1:14" ht="15" thickBot="1" x14ac:dyDescent="0.25">
      <c r="A66" t="s">
        <v>24</v>
      </c>
      <c r="B66">
        <v>0</v>
      </c>
      <c r="C66">
        <v>2.0413926851582298</v>
      </c>
      <c r="D66">
        <v>0</v>
      </c>
      <c r="E66">
        <v>0</v>
      </c>
      <c r="F66">
        <v>2.6232492903978999</v>
      </c>
      <c r="G66">
        <v>2.6232492903978999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s="45" t="s">
        <v>31</v>
      </c>
      <c r="B67">
        <v>0</v>
      </c>
      <c r="C67">
        <v>1.2218487496163599</v>
      </c>
      <c r="D67">
        <v>0</v>
      </c>
      <c r="E67">
        <v>1.82390874094432</v>
      </c>
      <c r="F67">
        <v>0</v>
      </c>
      <c r="G67">
        <v>1.82390874094432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ht="15" thickBot="1" x14ac:dyDescent="0.25">
      <c r="A68" s="46" t="s">
        <v>34</v>
      </c>
      <c r="B68">
        <v>0</v>
      </c>
      <c r="C68">
        <v>1.3010299956639799</v>
      </c>
      <c r="D68">
        <v>0</v>
      </c>
      <c r="E68">
        <v>1.84509804001426</v>
      </c>
      <c r="F68">
        <v>1.84509804001426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26</v>
      </c>
      <c r="B69">
        <v>0</v>
      </c>
      <c r="C69">
        <v>0</v>
      </c>
      <c r="D69">
        <v>1.6989700043360201</v>
      </c>
      <c r="E69">
        <v>0</v>
      </c>
      <c r="F69">
        <v>0</v>
      </c>
      <c r="G69">
        <v>0</v>
      </c>
      <c r="H69">
        <v>2.6232492903978999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ht="15" thickBot="1" x14ac:dyDescent="0.25">
      <c r="A70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2.65321251377534</v>
      </c>
    </row>
    <row r="71" spans="1:14" x14ac:dyDescent="0.2">
      <c r="A71" s="45" t="s">
        <v>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2.17609125905568</v>
      </c>
      <c r="L71">
        <v>2.17609125905568</v>
      </c>
      <c r="M71">
        <v>0</v>
      </c>
      <c r="N71">
        <v>0</v>
      </c>
    </row>
    <row r="72" spans="1:14" ht="15" thickBot="1" x14ac:dyDescent="0.25">
      <c r="A72" s="46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1.7403626894942399</v>
      </c>
      <c r="K72">
        <v>0</v>
      </c>
      <c r="L72">
        <v>1.7403626894942399</v>
      </c>
      <c r="M72">
        <v>0</v>
      </c>
      <c r="N72">
        <v>0</v>
      </c>
    </row>
    <row r="73" spans="1:14" x14ac:dyDescent="0.2">
      <c r="A73" s="47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0.69897000433601897</v>
      </c>
      <c r="K73">
        <v>0.69897000433601897</v>
      </c>
      <c r="L73">
        <v>0</v>
      </c>
      <c r="M73">
        <v>0</v>
      </c>
      <c r="N73">
        <v>0</v>
      </c>
    </row>
    <row r="74" spans="1:14" x14ac:dyDescent="0.2">
      <c r="A74" t="s">
        <v>28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2.6232492903978999</v>
      </c>
      <c r="N74">
        <v>0</v>
      </c>
    </row>
    <row r="75" spans="1:14" x14ac:dyDescent="0.2">
      <c r="A75" t="s">
        <v>25</v>
      </c>
      <c r="B75">
        <v>0</v>
      </c>
      <c r="C75">
        <v>2.2041199826559299</v>
      </c>
      <c r="D75">
        <v>2.6334684555795902</v>
      </c>
      <c r="E75">
        <v>0</v>
      </c>
      <c r="F75">
        <v>0</v>
      </c>
      <c r="G75">
        <v>0</v>
      </c>
      <c r="H75">
        <v>0</v>
      </c>
      <c r="I75">
        <v>2.5910646070265</v>
      </c>
      <c r="J75">
        <v>0</v>
      </c>
      <c r="K75">
        <v>0</v>
      </c>
      <c r="L75">
        <v>0</v>
      </c>
      <c r="M75">
        <v>0</v>
      </c>
      <c r="N75">
        <v>0</v>
      </c>
    </row>
    <row r="88" spans="1:14" x14ac:dyDescent="0.2">
      <c r="B88" t="s">
        <v>110</v>
      </c>
    </row>
    <row r="89" spans="1:14" ht="15" thickBot="1" x14ac:dyDescent="0.25"/>
    <row r="90" spans="1:14" x14ac:dyDescent="0.2">
      <c r="A90" s="45" t="s">
        <v>21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ht="15" thickBot="1" x14ac:dyDescent="0.25">
      <c r="A91" s="46" t="s">
        <v>23</v>
      </c>
      <c r="B91">
        <v>0</v>
      </c>
      <c r="C91">
        <v>3</v>
      </c>
      <c r="D91">
        <v>1.0476190476190499</v>
      </c>
      <c r="E91">
        <v>0.98412698412698396</v>
      </c>
      <c r="F91">
        <v>7.9365079365079395E-3</v>
      </c>
      <c r="G91">
        <v>7.9365079365079395E-3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0.61904761904761896</v>
      </c>
    </row>
    <row r="92" spans="1:14" x14ac:dyDescent="0.2">
      <c r="A92" t="s">
        <v>22</v>
      </c>
      <c r="B92">
        <v>0</v>
      </c>
      <c r="C92">
        <v>0.952380952380952</v>
      </c>
      <c r="D92">
        <v>0</v>
      </c>
      <c r="E92">
        <v>0</v>
      </c>
      <c r="F92">
        <v>0</v>
      </c>
      <c r="G92">
        <v>0</v>
      </c>
      <c r="H92">
        <v>0.88095238095238104</v>
      </c>
      <c r="I92">
        <v>0</v>
      </c>
      <c r="J92">
        <v>0</v>
      </c>
      <c r="K92">
        <v>0</v>
      </c>
      <c r="L92">
        <v>0</v>
      </c>
      <c r="M92">
        <v>0</v>
      </c>
      <c r="N92">
        <v>0.97619047619047605</v>
      </c>
    </row>
    <row r="93" spans="1:14" ht="15" thickBot="1" x14ac:dyDescent="0.25">
      <c r="A93" t="s">
        <v>24</v>
      </c>
      <c r="B93">
        <v>0</v>
      </c>
      <c r="C93">
        <v>0.26190476190476197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s="45" t="s">
        <v>31</v>
      </c>
      <c r="B94">
        <v>0</v>
      </c>
      <c r="C94">
        <v>3.9682539682539701E-2</v>
      </c>
      <c r="D94">
        <v>0</v>
      </c>
      <c r="E94">
        <v>0.158730158730159</v>
      </c>
      <c r="F94">
        <v>0</v>
      </c>
      <c r="G94">
        <v>0.158730158730159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ht="15" thickBot="1" x14ac:dyDescent="0.25">
      <c r="A95" s="46" t="s">
        <v>34</v>
      </c>
      <c r="B95">
        <v>0</v>
      </c>
      <c r="C95">
        <v>4.7619047619047603E-2</v>
      </c>
      <c r="D95">
        <v>0</v>
      </c>
      <c r="E95">
        <v>0.16666666666666699</v>
      </c>
      <c r="F95">
        <v>0.16666666666666699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26</v>
      </c>
      <c r="B96">
        <v>0</v>
      </c>
      <c r="C96">
        <v>0</v>
      </c>
      <c r="D96">
        <v>0.119047619047619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ht="15" thickBot="1" x14ac:dyDescent="0.25">
      <c r="A97" t="s">
        <v>30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1.0714285714285701</v>
      </c>
    </row>
    <row r="98" spans="1:14" x14ac:dyDescent="0.2">
      <c r="A98" s="45" t="s">
        <v>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0.35714285714285698</v>
      </c>
      <c r="L98">
        <v>0</v>
      </c>
      <c r="M98">
        <v>0.35714285714285698</v>
      </c>
      <c r="N98">
        <v>0</v>
      </c>
    </row>
    <row r="99" spans="1:14" ht="15" thickBot="1" x14ac:dyDescent="0.25">
      <c r="A99" s="46" t="s">
        <v>32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0.13095238095238099</v>
      </c>
      <c r="K99">
        <v>0</v>
      </c>
      <c r="L99">
        <v>0</v>
      </c>
      <c r="M99">
        <v>0.13095238095238099</v>
      </c>
      <c r="N99">
        <v>0</v>
      </c>
    </row>
    <row r="100" spans="1:14" x14ac:dyDescent="0.2">
      <c r="A100" s="48" t="s">
        <v>33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1.1904761904761901E-2</v>
      </c>
      <c r="K100">
        <v>1.1904761904761901E-2</v>
      </c>
      <c r="L100">
        <v>0</v>
      </c>
      <c r="M100">
        <v>0</v>
      </c>
      <c r="N100">
        <v>0</v>
      </c>
    </row>
    <row r="101" spans="1:14" x14ac:dyDescent="0.2">
      <c r="A101" t="s">
        <v>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 x14ac:dyDescent="0.2">
      <c r="A102" t="s">
        <v>25</v>
      </c>
      <c r="B102">
        <v>0</v>
      </c>
      <c r="C102">
        <v>0.38095238095238099</v>
      </c>
      <c r="D102">
        <v>1.02380952380952</v>
      </c>
      <c r="E102">
        <v>0</v>
      </c>
      <c r="F102">
        <v>0</v>
      </c>
      <c r="G102">
        <v>0</v>
      </c>
      <c r="H102">
        <v>0</v>
      </c>
      <c r="I102">
        <v>0.92857142857142905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ht="15" thickBot="1" x14ac:dyDescent="0.25"/>
    <row r="104" spans="1:14" x14ac:dyDescent="0.2">
      <c r="A104" s="45" t="s">
        <v>21</v>
      </c>
      <c r="B104">
        <v>42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ht="15" thickBot="1" x14ac:dyDescent="0.25">
      <c r="A105" s="46" t="s">
        <v>23</v>
      </c>
      <c r="B105">
        <v>0</v>
      </c>
      <c r="C105">
        <v>126</v>
      </c>
      <c r="D105">
        <v>44</v>
      </c>
      <c r="E105">
        <v>41.3333333333333</v>
      </c>
      <c r="F105">
        <v>0.33333333333333298</v>
      </c>
      <c r="G105">
        <v>0.33333333333333298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26</v>
      </c>
    </row>
    <row r="106" spans="1:14" x14ac:dyDescent="0.2">
      <c r="A106" t="s">
        <v>22</v>
      </c>
      <c r="B106">
        <v>0</v>
      </c>
      <c r="C106">
        <v>40</v>
      </c>
      <c r="D106">
        <v>0</v>
      </c>
      <c r="E106">
        <v>0</v>
      </c>
      <c r="F106">
        <v>0</v>
      </c>
      <c r="G106">
        <v>0</v>
      </c>
      <c r="H106">
        <v>37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41</v>
      </c>
    </row>
    <row r="107" spans="1:14" ht="15" thickBot="1" x14ac:dyDescent="0.25">
      <c r="A107" t="s">
        <v>24</v>
      </c>
      <c r="B107">
        <v>0</v>
      </c>
      <c r="C107">
        <v>11</v>
      </c>
      <c r="D107">
        <v>0</v>
      </c>
      <c r="E107">
        <v>0</v>
      </c>
      <c r="F107">
        <v>42</v>
      </c>
      <c r="G107">
        <v>42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s="45" t="s">
        <v>31</v>
      </c>
      <c r="B108">
        <v>0</v>
      </c>
      <c r="C108">
        <v>1.6666666666666701</v>
      </c>
      <c r="D108">
        <v>0</v>
      </c>
      <c r="E108">
        <v>6.6666666666666696</v>
      </c>
      <c r="F108">
        <v>0</v>
      </c>
      <c r="G108">
        <v>6.6666666666666696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ht="15" thickBot="1" x14ac:dyDescent="0.25">
      <c r="A109" s="46" t="s">
        <v>34</v>
      </c>
      <c r="B109">
        <v>0</v>
      </c>
      <c r="C109">
        <v>2</v>
      </c>
      <c r="D109">
        <v>0</v>
      </c>
      <c r="E109">
        <v>7</v>
      </c>
      <c r="F109">
        <v>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26</v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42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ht="15" thickBot="1" x14ac:dyDescent="0.25">
      <c r="A111" t="s">
        <v>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45</v>
      </c>
    </row>
    <row r="112" spans="1:14" x14ac:dyDescent="0.2">
      <c r="A112" s="45" t="s">
        <v>29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15</v>
      </c>
      <c r="L112">
        <v>0</v>
      </c>
      <c r="M112">
        <v>15</v>
      </c>
      <c r="N112">
        <v>0</v>
      </c>
    </row>
    <row r="113" spans="1:14" ht="15" thickBot="1" x14ac:dyDescent="0.25">
      <c r="A113" s="46" t="s">
        <v>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5.5</v>
      </c>
      <c r="K113">
        <v>0</v>
      </c>
      <c r="L113">
        <v>0</v>
      </c>
      <c r="M113">
        <v>5.5</v>
      </c>
      <c r="N113">
        <v>0</v>
      </c>
    </row>
    <row r="114" spans="1:14" x14ac:dyDescent="0.2">
      <c r="A114" t="s">
        <v>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42</v>
      </c>
      <c r="M114">
        <v>0</v>
      </c>
      <c r="N114">
        <v>0</v>
      </c>
    </row>
    <row r="115" spans="1:14" x14ac:dyDescent="0.2">
      <c r="A115" s="47" t="s">
        <v>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0.5</v>
      </c>
      <c r="K115">
        <v>0.5</v>
      </c>
      <c r="L115">
        <v>0</v>
      </c>
      <c r="M115">
        <v>0</v>
      </c>
      <c r="N115">
        <v>0</v>
      </c>
    </row>
    <row r="116" spans="1:14" x14ac:dyDescent="0.2">
      <c r="A116" t="s">
        <v>25</v>
      </c>
      <c r="B116">
        <v>0</v>
      </c>
      <c r="C116">
        <v>16</v>
      </c>
      <c r="D116">
        <v>43</v>
      </c>
      <c r="E116">
        <v>0</v>
      </c>
      <c r="F116">
        <v>0</v>
      </c>
      <c r="G116">
        <v>0</v>
      </c>
      <c r="H116">
        <v>0</v>
      </c>
      <c r="I116">
        <v>39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ht="15" thickBot="1" x14ac:dyDescent="0.25"/>
    <row r="118" spans="1:14" x14ac:dyDescent="0.2">
      <c r="A118" s="45" t="s">
        <v>21</v>
      </c>
      <c r="B118">
        <v>2.6232492903978999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ht="15" thickBot="1" x14ac:dyDescent="0.25">
      <c r="A119" s="46" t="s">
        <v>23</v>
      </c>
      <c r="B119">
        <v>0</v>
      </c>
      <c r="C119">
        <v>3.1003705451175598</v>
      </c>
      <c r="D119">
        <v>2.6434526764861901</v>
      </c>
      <c r="E119">
        <v>2.6163004304425699</v>
      </c>
      <c r="F119">
        <v>0.52287874528033795</v>
      </c>
      <c r="G119">
        <v>0.52287874528033795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2.41497334797082</v>
      </c>
    </row>
    <row r="120" spans="1:14" x14ac:dyDescent="0.2">
      <c r="A120" t="s">
        <v>22</v>
      </c>
      <c r="B120">
        <v>0</v>
      </c>
      <c r="C120">
        <v>2.6020599913279598</v>
      </c>
      <c r="D120">
        <v>0</v>
      </c>
      <c r="E120">
        <v>0</v>
      </c>
      <c r="F120">
        <v>0</v>
      </c>
      <c r="G120">
        <v>0</v>
      </c>
      <c r="H120">
        <v>2.5682017240669999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2.6127838567197399</v>
      </c>
    </row>
    <row r="121" spans="1:14" ht="15" thickBot="1" x14ac:dyDescent="0.25">
      <c r="A121" t="s">
        <v>24</v>
      </c>
      <c r="B121">
        <v>0</v>
      </c>
      <c r="C121">
        <v>2.0413926851582298</v>
      </c>
      <c r="D121">
        <v>0</v>
      </c>
      <c r="E121">
        <v>0</v>
      </c>
      <c r="F121">
        <v>2.6232492903978999</v>
      </c>
      <c r="G121">
        <v>2.6232492903978999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s="45" t="s">
        <v>31</v>
      </c>
      <c r="B122">
        <v>0</v>
      </c>
      <c r="C122">
        <v>1.2218487496163599</v>
      </c>
      <c r="D122">
        <v>0</v>
      </c>
      <c r="E122">
        <v>1.82390874094432</v>
      </c>
      <c r="F122">
        <v>0</v>
      </c>
      <c r="G122">
        <v>1.82390874094432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ht="15" thickBot="1" x14ac:dyDescent="0.25">
      <c r="A123" s="46" t="s">
        <v>34</v>
      </c>
      <c r="B123">
        <v>0</v>
      </c>
      <c r="C123">
        <v>1.3010299956639799</v>
      </c>
      <c r="D123">
        <v>0</v>
      </c>
      <c r="E123">
        <v>1.84509804001426</v>
      </c>
      <c r="F123">
        <v>1.84509804001426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26</v>
      </c>
      <c r="B124">
        <v>0</v>
      </c>
      <c r="C124">
        <v>0</v>
      </c>
      <c r="D124">
        <v>1.6989700043360201</v>
      </c>
      <c r="E124">
        <v>0</v>
      </c>
      <c r="F124">
        <v>0</v>
      </c>
      <c r="G124">
        <v>0</v>
      </c>
      <c r="H124">
        <v>2.6232492903978999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ht="15" thickBot="1" x14ac:dyDescent="0.25">
      <c r="A125" t="s">
        <v>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2.65321251377534</v>
      </c>
    </row>
    <row r="126" spans="1:14" x14ac:dyDescent="0.2">
      <c r="A126" s="45" t="s">
        <v>29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2.17609125905568</v>
      </c>
      <c r="L126">
        <v>0</v>
      </c>
      <c r="M126">
        <v>2.17609125905568</v>
      </c>
      <c r="N126">
        <v>0</v>
      </c>
    </row>
    <row r="127" spans="1:14" ht="15" thickBot="1" x14ac:dyDescent="0.25">
      <c r="A127" s="46" t="s">
        <v>32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1.7403626894942399</v>
      </c>
      <c r="K127">
        <v>0</v>
      </c>
      <c r="L127">
        <v>0</v>
      </c>
      <c r="M127">
        <v>1.7403626894942399</v>
      </c>
      <c r="N127">
        <v>0</v>
      </c>
    </row>
    <row r="128" spans="1:14" x14ac:dyDescent="0.2">
      <c r="A128" t="s">
        <v>28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2.6232492903978999</v>
      </c>
      <c r="M128">
        <v>0</v>
      </c>
      <c r="N128">
        <v>0</v>
      </c>
    </row>
    <row r="129" spans="1:14" x14ac:dyDescent="0.2">
      <c r="A129" s="47" t="s">
        <v>33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0.69897000433601897</v>
      </c>
      <c r="K129">
        <v>0.69897000433601897</v>
      </c>
      <c r="L129">
        <v>0</v>
      </c>
      <c r="M129">
        <v>0</v>
      </c>
      <c r="N129">
        <v>0</v>
      </c>
    </row>
    <row r="130" spans="1:14" x14ac:dyDescent="0.2">
      <c r="A130" t="s">
        <v>25</v>
      </c>
      <c r="B130">
        <v>0</v>
      </c>
      <c r="C130">
        <v>2.2041199826559299</v>
      </c>
      <c r="D130">
        <v>2.6334684555795902</v>
      </c>
      <c r="E130">
        <v>0</v>
      </c>
      <c r="F130">
        <v>0</v>
      </c>
      <c r="G130">
        <v>0</v>
      </c>
      <c r="H130">
        <v>0</v>
      </c>
      <c r="I130">
        <v>2.5910646070265</v>
      </c>
      <c r="J130">
        <v>0</v>
      </c>
      <c r="K130">
        <v>0</v>
      </c>
      <c r="L130">
        <v>0</v>
      </c>
      <c r="M130">
        <v>0</v>
      </c>
      <c r="N130">
        <v>0</v>
      </c>
    </row>
  </sheetData>
  <phoneticPr fontId="5" type="noConversion"/>
  <conditionalFormatting sqref="B2:T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4:N11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8:N1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N3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9:N6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3:N7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4EA2-8AD8-46DE-A2C5-4D29587D1731}">
  <dimension ref="A1:V50"/>
  <sheetViews>
    <sheetView workbookViewId="0">
      <selection activeCell="Q18" sqref="Q18"/>
    </sheetView>
  </sheetViews>
  <sheetFormatPr defaultRowHeight="14.25" x14ac:dyDescent="0.2"/>
  <cols>
    <col min="3" max="3" width="4" customWidth="1"/>
    <col min="4" max="8" width="3.5" hidden="1" customWidth="1"/>
    <col min="9" max="9" width="3.5" customWidth="1"/>
    <col min="10" max="10" width="5" customWidth="1"/>
  </cols>
  <sheetData>
    <row r="1" spans="1:22" ht="15" thickBot="1" x14ac:dyDescent="0.25">
      <c r="C1" t="s">
        <v>108</v>
      </c>
      <c r="D1" t="s">
        <v>112</v>
      </c>
      <c r="E1" t="s">
        <v>113</v>
      </c>
      <c r="F1" t="s">
        <v>114</v>
      </c>
      <c r="G1" t="s">
        <v>116</v>
      </c>
      <c r="H1" t="s">
        <v>115</v>
      </c>
      <c r="I1" t="s">
        <v>117</v>
      </c>
    </row>
    <row r="2" spans="1:22" ht="15" thickBot="1" x14ac:dyDescent="0.25">
      <c r="A2" s="1" t="s">
        <v>21</v>
      </c>
      <c r="B2" s="18" t="s">
        <v>2</v>
      </c>
      <c r="C2">
        <v>42</v>
      </c>
      <c r="D2">
        <f t="shared" ref="D2:D11" si="0">IF(C2&gt;1,1,0)</f>
        <v>1</v>
      </c>
      <c r="E2">
        <f t="shared" ref="E2:E11" si="1">IF(C2&gt;2,1,0)</f>
        <v>1</v>
      </c>
      <c r="F2">
        <f t="shared" ref="F2:F11" si="2">IF(C2&gt;3,1,0)</f>
        <v>1</v>
      </c>
      <c r="G2">
        <f t="shared" ref="G2:G11" si="3">IF(C2&gt;4,1,0)</f>
        <v>1</v>
      </c>
      <c r="H2">
        <f t="shared" ref="H2:H11" si="4">IF(C2&gt;5,1,0)</f>
        <v>1</v>
      </c>
      <c r="I2">
        <f t="shared" ref="I2:I11" si="5">IF(C2&gt;10,1,0)</f>
        <v>1</v>
      </c>
      <c r="J2">
        <v>100</v>
      </c>
      <c r="K2">
        <v>1</v>
      </c>
      <c r="L2">
        <f t="shared" ref="L2:L36" si="6">360*C2/SUM($C$2:$C$36)</f>
        <v>18.923654568210264</v>
      </c>
      <c r="V2" s="18" t="s">
        <v>2</v>
      </c>
    </row>
    <row r="3" spans="1:22" ht="15" thickBot="1" x14ac:dyDescent="0.25">
      <c r="A3" s="1" t="s">
        <v>23</v>
      </c>
      <c r="B3" s="18" t="s">
        <v>4</v>
      </c>
      <c r="C3">
        <v>42</v>
      </c>
      <c r="D3">
        <f t="shared" si="0"/>
        <v>1</v>
      </c>
      <c r="E3">
        <f t="shared" si="1"/>
        <v>1</v>
      </c>
      <c r="F3">
        <f t="shared" si="2"/>
        <v>1</v>
      </c>
      <c r="G3">
        <f t="shared" si="3"/>
        <v>1</v>
      </c>
      <c r="H3">
        <f t="shared" si="4"/>
        <v>1</v>
      </c>
      <c r="I3">
        <f t="shared" si="5"/>
        <v>1</v>
      </c>
      <c r="J3">
        <v>101</v>
      </c>
      <c r="K3">
        <v>2</v>
      </c>
      <c r="L3">
        <f t="shared" si="6"/>
        <v>18.923654568210264</v>
      </c>
      <c r="V3" s="18" t="s">
        <v>11</v>
      </c>
    </row>
    <row r="4" spans="1:22" ht="15" thickBot="1" x14ac:dyDescent="0.25">
      <c r="A4" s="1" t="s">
        <v>23</v>
      </c>
      <c r="B4" s="18" t="s">
        <v>13</v>
      </c>
      <c r="C4">
        <v>42</v>
      </c>
      <c r="D4">
        <f t="shared" si="0"/>
        <v>1</v>
      </c>
      <c r="E4">
        <f t="shared" si="1"/>
        <v>1</v>
      </c>
      <c r="F4">
        <f t="shared" si="2"/>
        <v>1</v>
      </c>
      <c r="G4">
        <f t="shared" si="3"/>
        <v>1</v>
      </c>
      <c r="H4">
        <f t="shared" si="4"/>
        <v>1</v>
      </c>
      <c r="I4">
        <f t="shared" si="5"/>
        <v>1</v>
      </c>
      <c r="J4">
        <v>102</v>
      </c>
      <c r="K4">
        <v>2</v>
      </c>
      <c r="L4">
        <f t="shared" si="6"/>
        <v>18.923654568210264</v>
      </c>
      <c r="V4" s="18" t="s">
        <v>12</v>
      </c>
    </row>
    <row r="5" spans="1:22" ht="15" thickBot="1" x14ac:dyDescent="0.25">
      <c r="A5" s="1" t="s">
        <v>23</v>
      </c>
      <c r="B5" s="18" t="s">
        <v>16</v>
      </c>
      <c r="C5">
        <v>42</v>
      </c>
      <c r="D5">
        <f t="shared" si="0"/>
        <v>1</v>
      </c>
      <c r="E5">
        <f t="shared" si="1"/>
        <v>1</v>
      </c>
      <c r="F5">
        <f t="shared" si="2"/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v>103</v>
      </c>
      <c r="K5">
        <v>2</v>
      </c>
      <c r="L5">
        <f t="shared" si="6"/>
        <v>18.923654568210264</v>
      </c>
      <c r="V5" s="18" t="s">
        <v>13</v>
      </c>
    </row>
    <row r="6" spans="1:22" ht="15" thickBot="1" x14ac:dyDescent="0.25">
      <c r="A6" s="1" t="s">
        <v>23</v>
      </c>
      <c r="B6" s="18" t="s">
        <v>10</v>
      </c>
      <c r="C6">
        <v>41</v>
      </c>
      <c r="D6">
        <f t="shared" si="0"/>
        <v>1</v>
      </c>
      <c r="E6">
        <f t="shared" si="1"/>
        <v>1</v>
      </c>
      <c r="F6">
        <f t="shared" si="2"/>
        <v>1</v>
      </c>
      <c r="G6">
        <f t="shared" si="3"/>
        <v>1</v>
      </c>
      <c r="H6">
        <f t="shared" si="4"/>
        <v>1</v>
      </c>
      <c r="I6">
        <f t="shared" si="5"/>
        <v>1</v>
      </c>
      <c r="J6">
        <v>104</v>
      </c>
      <c r="K6">
        <v>3</v>
      </c>
      <c r="L6">
        <f t="shared" si="6"/>
        <v>18.473091364205256</v>
      </c>
      <c r="V6" s="18" t="s">
        <v>14</v>
      </c>
    </row>
    <row r="7" spans="1:22" ht="15" thickBot="1" x14ac:dyDescent="0.25">
      <c r="A7" s="25" t="s">
        <v>23</v>
      </c>
      <c r="B7" s="18" t="s">
        <v>6</v>
      </c>
      <c r="C7">
        <v>3</v>
      </c>
      <c r="D7">
        <f t="shared" si="0"/>
        <v>1</v>
      </c>
      <c r="E7">
        <f t="shared" si="1"/>
        <v>1</v>
      </c>
      <c r="F7">
        <f t="shared" si="2"/>
        <v>0</v>
      </c>
      <c r="G7">
        <f t="shared" si="3"/>
        <v>0</v>
      </c>
      <c r="H7">
        <f t="shared" si="4"/>
        <v>0</v>
      </c>
      <c r="I7">
        <f t="shared" si="5"/>
        <v>0</v>
      </c>
      <c r="J7">
        <v>105</v>
      </c>
      <c r="K7">
        <v>3</v>
      </c>
      <c r="L7">
        <f t="shared" si="6"/>
        <v>1.3516896120150188</v>
      </c>
      <c r="V7" s="18" t="s">
        <v>15</v>
      </c>
    </row>
    <row r="8" spans="1:22" ht="15" thickBot="1" x14ac:dyDescent="0.25">
      <c r="A8" s="1" t="s">
        <v>23</v>
      </c>
      <c r="B8" s="18" t="s">
        <v>122</v>
      </c>
      <c r="C8">
        <v>41</v>
      </c>
      <c r="D8">
        <f t="shared" si="0"/>
        <v>1</v>
      </c>
      <c r="E8">
        <f t="shared" si="1"/>
        <v>1</v>
      </c>
      <c r="F8">
        <f t="shared" si="2"/>
        <v>1</v>
      </c>
      <c r="G8">
        <f t="shared" si="3"/>
        <v>1</v>
      </c>
      <c r="H8">
        <f t="shared" si="4"/>
        <v>1</v>
      </c>
      <c r="I8">
        <f t="shared" si="5"/>
        <v>1</v>
      </c>
      <c r="J8">
        <v>106</v>
      </c>
      <c r="K8">
        <v>4</v>
      </c>
      <c r="L8">
        <f t="shared" si="6"/>
        <v>18.473091364205256</v>
      </c>
      <c r="V8" s="18" t="s">
        <v>16</v>
      </c>
    </row>
    <row r="9" spans="1:22" ht="15" thickBot="1" x14ac:dyDescent="0.25">
      <c r="A9" s="5" t="s">
        <v>23</v>
      </c>
      <c r="B9" s="18" t="s">
        <v>7</v>
      </c>
      <c r="C9">
        <f>1/3</f>
        <v>0.33333333333333331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0</v>
      </c>
      <c r="J9">
        <v>107</v>
      </c>
      <c r="K9">
        <v>4</v>
      </c>
      <c r="L9">
        <f t="shared" si="6"/>
        <v>0.15018773466833543</v>
      </c>
      <c r="V9" s="18" t="s">
        <v>17</v>
      </c>
    </row>
    <row r="10" spans="1:22" ht="15" thickBot="1" x14ac:dyDescent="0.25">
      <c r="A10" s="1" t="s">
        <v>23</v>
      </c>
      <c r="B10" s="18" t="s">
        <v>17</v>
      </c>
      <c r="C10">
        <v>26</v>
      </c>
      <c r="D10">
        <f t="shared" si="0"/>
        <v>1</v>
      </c>
      <c r="E10">
        <f t="shared" si="1"/>
        <v>1</v>
      </c>
      <c r="F10">
        <f t="shared" si="2"/>
        <v>1</v>
      </c>
      <c r="G10">
        <f t="shared" si="3"/>
        <v>1</v>
      </c>
      <c r="H10">
        <f t="shared" si="4"/>
        <v>1</v>
      </c>
      <c r="I10">
        <f t="shared" si="5"/>
        <v>1</v>
      </c>
      <c r="J10">
        <v>108</v>
      </c>
      <c r="K10">
        <v>5</v>
      </c>
      <c r="L10">
        <f t="shared" si="6"/>
        <v>11.714643304130163</v>
      </c>
      <c r="V10" s="18" t="s">
        <v>20</v>
      </c>
    </row>
    <row r="11" spans="1:22" ht="15" thickBot="1" x14ac:dyDescent="0.25">
      <c r="A11" s="5" t="s">
        <v>23</v>
      </c>
      <c r="B11" s="18" t="s">
        <v>7</v>
      </c>
      <c r="C11">
        <f>2/3</f>
        <v>0.66666666666666663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v>109</v>
      </c>
      <c r="K11" t="s">
        <v>121</v>
      </c>
      <c r="L11">
        <f t="shared" si="6"/>
        <v>0.30037546933667086</v>
      </c>
      <c r="M11" s="18" t="s">
        <v>7</v>
      </c>
      <c r="N11">
        <f>1/3</f>
        <v>0.33333333333333331</v>
      </c>
      <c r="O11" s="18" t="s">
        <v>7</v>
      </c>
      <c r="P11">
        <f>1/3</f>
        <v>0.33333333333333331</v>
      </c>
      <c r="V11" s="18" t="s">
        <v>3</v>
      </c>
    </row>
    <row r="12" spans="1:22" ht="15" thickBot="1" x14ac:dyDescent="0.25">
      <c r="A12" s="1" t="s">
        <v>22</v>
      </c>
      <c r="B12" s="18" t="s">
        <v>3</v>
      </c>
      <c r="C12">
        <v>40</v>
      </c>
      <c r="D12">
        <f>IF(C12&gt;1,1,0)</f>
        <v>1</v>
      </c>
      <c r="E12">
        <f>IF(C12&gt;2,1,0)</f>
        <v>1</v>
      </c>
      <c r="F12">
        <f>IF(C12&gt;3,1,0)</f>
        <v>1</v>
      </c>
      <c r="G12">
        <f>IF(C12&gt;4,1,0)</f>
        <v>1</v>
      </c>
      <c r="H12">
        <f>IF(C12&gt;5,1,0)</f>
        <v>1</v>
      </c>
      <c r="I12">
        <f>IF(C12&gt;10,1,0)</f>
        <v>1</v>
      </c>
      <c r="J12">
        <v>110</v>
      </c>
      <c r="K12">
        <v>8</v>
      </c>
      <c r="L12">
        <f t="shared" si="6"/>
        <v>18.022528160200249</v>
      </c>
      <c r="V12" s="18" t="s">
        <v>4</v>
      </c>
    </row>
    <row r="13" spans="1:22" ht="15" thickBot="1" x14ac:dyDescent="0.25">
      <c r="A13" s="9" t="s">
        <v>22</v>
      </c>
      <c r="B13" s="18" t="s">
        <v>15</v>
      </c>
      <c r="C13">
        <v>1</v>
      </c>
      <c r="D13">
        <f>IF(C13&gt;1,1,0)</f>
        <v>0</v>
      </c>
      <c r="E13">
        <f>IF(C13&gt;2,1,0)</f>
        <v>0</v>
      </c>
      <c r="F13">
        <f>IF(C13&gt;3,1,0)</f>
        <v>0</v>
      </c>
      <c r="G13">
        <f>IF(C13&gt;4,1,0)</f>
        <v>0</v>
      </c>
      <c r="H13">
        <f>IF(C13&gt;5,1,0)</f>
        <v>0</v>
      </c>
      <c r="I13">
        <f>IF(C13&gt;10,1,0)</f>
        <v>0</v>
      </c>
      <c r="J13">
        <v>111</v>
      </c>
      <c r="K13">
        <v>8</v>
      </c>
      <c r="L13">
        <f t="shared" si="6"/>
        <v>0.45056320400500627</v>
      </c>
      <c r="V13" s="18" t="s">
        <v>5</v>
      </c>
    </row>
    <row r="14" spans="1:22" ht="15" thickBot="1" x14ac:dyDescent="0.25">
      <c r="A14" s="1" t="s">
        <v>22</v>
      </c>
      <c r="B14" s="18" t="s">
        <v>6</v>
      </c>
      <c r="C14">
        <v>39</v>
      </c>
      <c r="D14">
        <f>IF(C14&gt;1,1,0)</f>
        <v>1</v>
      </c>
      <c r="E14">
        <f>IF(C14&gt;2,1,0)</f>
        <v>1</v>
      </c>
      <c r="F14">
        <f>IF(C14&gt;3,1,0)</f>
        <v>1</v>
      </c>
      <c r="G14">
        <f>IF(C14&gt;4,1,0)</f>
        <v>1</v>
      </c>
      <c r="H14">
        <f>IF(C14&gt;5,1,0)</f>
        <v>1</v>
      </c>
      <c r="I14">
        <f>IF(C14&gt;10,1,0)</f>
        <v>1</v>
      </c>
      <c r="J14">
        <v>112</v>
      </c>
      <c r="K14">
        <v>9</v>
      </c>
      <c r="L14">
        <f t="shared" si="6"/>
        <v>17.571964956195245</v>
      </c>
      <c r="V14" s="18" t="s">
        <v>6</v>
      </c>
    </row>
    <row r="15" spans="1:22" ht="15" thickBot="1" x14ac:dyDescent="0.25">
      <c r="A15" s="9" t="s">
        <v>22</v>
      </c>
      <c r="B15" s="18" t="s">
        <v>10</v>
      </c>
      <c r="C15">
        <v>1</v>
      </c>
      <c r="D15">
        <f>IF(C15&gt;1,1,0)</f>
        <v>0</v>
      </c>
      <c r="E15">
        <f>IF(C15&gt;2,1,0)</f>
        <v>0</v>
      </c>
      <c r="F15">
        <f>IF(C15&gt;3,1,0)</f>
        <v>0</v>
      </c>
      <c r="G15">
        <f>IF(C15&gt;4,1,0)</f>
        <v>0</v>
      </c>
      <c r="H15">
        <f>IF(C15&gt;5,1,0)</f>
        <v>0</v>
      </c>
      <c r="I15">
        <f>IF(C15&gt;10,1,0)</f>
        <v>0</v>
      </c>
      <c r="J15">
        <v>113</v>
      </c>
      <c r="K15">
        <v>9</v>
      </c>
      <c r="L15">
        <f t="shared" si="6"/>
        <v>0.45056320400500627</v>
      </c>
      <c r="V15" s="18" t="s">
        <v>123</v>
      </c>
    </row>
    <row r="16" spans="1:22" ht="15" thickBot="1" x14ac:dyDescent="0.25">
      <c r="A16" s="1" t="s">
        <v>22</v>
      </c>
      <c r="B16" s="18" t="s">
        <v>5</v>
      </c>
      <c r="C16">
        <v>37</v>
      </c>
      <c r="D16">
        <f>IF(C16&gt;1,1,0)</f>
        <v>1</v>
      </c>
      <c r="E16">
        <f>IF(C16&gt;2,1,0)</f>
        <v>1</v>
      </c>
      <c r="F16">
        <f>IF(C16&gt;3,1,0)</f>
        <v>1</v>
      </c>
      <c r="G16">
        <f>IF(C16&gt;4,1,0)</f>
        <v>1</v>
      </c>
      <c r="H16">
        <f>IF(C16&gt;5,1,0)</f>
        <v>1</v>
      </c>
      <c r="I16">
        <f>IF(C16&gt;10,1,0)</f>
        <v>1</v>
      </c>
      <c r="J16">
        <v>114</v>
      </c>
      <c r="K16">
        <v>10</v>
      </c>
      <c r="L16">
        <f t="shared" si="6"/>
        <v>16.67083854818523</v>
      </c>
      <c r="V16" s="18" t="s">
        <v>122</v>
      </c>
    </row>
    <row r="17" spans="1:22" ht="15" thickBot="1" x14ac:dyDescent="0.25">
      <c r="A17" s="1" t="s">
        <v>24</v>
      </c>
      <c r="B17" s="18" t="s">
        <v>7</v>
      </c>
      <c r="C17">
        <v>84</v>
      </c>
      <c r="D17">
        <f t="shared" ref="D17:D21" si="7">IF(C17&gt;1,1,0)</f>
        <v>1</v>
      </c>
      <c r="E17">
        <f t="shared" ref="E17:E21" si="8">IF(C17&gt;2,1,0)</f>
        <v>1</v>
      </c>
      <c r="F17">
        <f t="shared" ref="F17:F21" si="9">IF(C17&gt;3,1,0)</f>
        <v>1</v>
      </c>
      <c r="G17">
        <f t="shared" ref="G17:G21" si="10">IF(C17&gt;4,1,0)</f>
        <v>1</v>
      </c>
      <c r="H17">
        <f t="shared" ref="H17:H21" si="11">IF(C17&gt;5,1,0)</f>
        <v>1</v>
      </c>
      <c r="I17">
        <f t="shared" ref="I17:I21" si="12">IF(C17&gt;10,1,0)</f>
        <v>1</v>
      </c>
      <c r="J17">
        <v>115</v>
      </c>
      <c r="K17" t="s">
        <v>118</v>
      </c>
      <c r="L17">
        <f t="shared" si="6"/>
        <v>37.847309136420527</v>
      </c>
      <c r="M17" s="18" t="s">
        <v>7</v>
      </c>
      <c r="N17">
        <v>20</v>
      </c>
      <c r="O17" s="18" t="s">
        <v>18</v>
      </c>
      <c r="P17">
        <v>26</v>
      </c>
      <c r="Q17" s="18" t="s">
        <v>19</v>
      </c>
      <c r="R17">
        <v>38</v>
      </c>
      <c r="V17" s="32" t="s">
        <v>9</v>
      </c>
    </row>
    <row r="18" spans="1:22" ht="15" thickBot="1" x14ac:dyDescent="0.25">
      <c r="A18" s="5" t="s">
        <v>24</v>
      </c>
      <c r="B18" s="18" t="s">
        <v>8</v>
      </c>
      <c r="C18">
        <v>1</v>
      </c>
      <c r="D18">
        <f t="shared" si="7"/>
        <v>0</v>
      </c>
      <c r="E18">
        <f t="shared" si="8"/>
        <v>0</v>
      </c>
      <c r="F18">
        <f t="shared" si="9"/>
        <v>0</v>
      </c>
      <c r="G18">
        <f t="shared" si="10"/>
        <v>0</v>
      </c>
      <c r="H18">
        <f t="shared" si="11"/>
        <v>0</v>
      </c>
      <c r="I18">
        <f t="shared" si="12"/>
        <v>0</v>
      </c>
      <c r="J18">
        <v>116</v>
      </c>
      <c r="K18">
        <v>13</v>
      </c>
      <c r="L18">
        <f t="shared" si="6"/>
        <v>0.45056320400500627</v>
      </c>
      <c r="V18" s="32" t="s">
        <v>10</v>
      </c>
    </row>
    <row r="19" spans="1:22" ht="15" thickBot="1" x14ac:dyDescent="0.25">
      <c r="A19" s="1" t="s">
        <v>24</v>
      </c>
      <c r="B19" s="18" t="s">
        <v>7</v>
      </c>
      <c r="C19">
        <v>10</v>
      </c>
      <c r="D19">
        <f t="shared" si="7"/>
        <v>1</v>
      </c>
      <c r="E19">
        <f t="shared" si="8"/>
        <v>1</v>
      </c>
      <c r="F19">
        <f t="shared" si="9"/>
        <v>1</v>
      </c>
      <c r="G19">
        <f t="shared" si="10"/>
        <v>1</v>
      </c>
      <c r="H19">
        <f t="shared" si="11"/>
        <v>1</v>
      </c>
      <c r="I19">
        <f t="shared" si="12"/>
        <v>0</v>
      </c>
      <c r="J19">
        <v>117</v>
      </c>
      <c r="K19">
        <v>13</v>
      </c>
      <c r="L19">
        <f t="shared" si="6"/>
        <v>4.5056320400500622</v>
      </c>
      <c r="V19" s="18"/>
    </row>
    <row r="20" spans="1:22" ht="15" thickBot="1" x14ac:dyDescent="0.25">
      <c r="A20" s="9" t="s">
        <v>31</v>
      </c>
      <c r="B20" s="18" t="s">
        <v>7</v>
      </c>
      <c r="C20">
        <v>13.333333333333334</v>
      </c>
      <c r="D20">
        <f t="shared" si="7"/>
        <v>1</v>
      </c>
      <c r="E20">
        <f t="shared" si="8"/>
        <v>1</v>
      </c>
      <c r="F20">
        <f t="shared" si="9"/>
        <v>1</v>
      </c>
      <c r="G20">
        <f t="shared" si="10"/>
        <v>1</v>
      </c>
      <c r="H20">
        <f t="shared" si="11"/>
        <v>1</v>
      </c>
      <c r="I20">
        <f t="shared" si="12"/>
        <v>1</v>
      </c>
      <c r="J20">
        <v>118</v>
      </c>
      <c r="K20" t="s">
        <v>119</v>
      </c>
      <c r="L20">
        <f t="shared" si="6"/>
        <v>6.0075093867334166</v>
      </c>
      <c r="M20" s="18" t="s">
        <v>7</v>
      </c>
      <c r="N20">
        <f>10/3</f>
        <v>3.3333333333333335</v>
      </c>
      <c r="O20" s="18" t="s">
        <v>18</v>
      </c>
      <c r="P20">
        <v>8</v>
      </c>
      <c r="Q20" s="18" t="s">
        <v>19</v>
      </c>
      <c r="R20">
        <v>2</v>
      </c>
      <c r="V20" s="18"/>
    </row>
    <row r="21" spans="1:22" ht="15" thickBot="1" x14ac:dyDescent="0.25">
      <c r="A21" s="9" t="s">
        <v>31</v>
      </c>
      <c r="B21" s="18" t="s">
        <v>7</v>
      </c>
      <c r="C21">
        <f>5/3</f>
        <v>1.6666666666666667</v>
      </c>
      <c r="D21">
        <f t="shared" si="7"/>
        <v>1</v>
      </c>
      <c r="E21">
        <f t="shared" si="8"/>
        <v>0</v>
      </c>
      <c r="F21">
        <f t="shared" si="9"/>
        <v>0</v>
      </c>
      <c r="G21">
        <f t="shared" si="10"/>
        <v>0</v>
      </c>
      <c r="H21">
        <f t="shared" si="11"/>
        <v>0</v>
      </c>
      <c r="I21">
        <f t="shared" si="12"/>
        <v>0</v>
      </c>
      <c r="J21">
        <v>119</v>
      </c>
      <c r="K21">
        <v>16</v>
      </c>
      <c r="L21">
        <f t="shared" si="6"/>
        <v>0.75093867334167708</v>
      </c>
      <c r="V21" s="18"/>
    </row>
    <row r="22" spans="1:22" ht="15" thickBot="1" x14ac:dyDescent="0.25">
      <c r="A22" s="9" t="s">
        <v>34</v>
      </c>
      <c r="B22" s="18" t="s">
        <v>7</v>
      </c>
      <c r="C22">
        <f>N22+P22+R22</f>
        <v>14</v>
      </c>
      <c r="D22">
        <f t="shared" ref="D22:D36" si="13">IF(C22&gt;1,1,0)</f>
        <v>1</v>
      </c>
      <c r="E22">
        <f t="shared" ref="E22:E36" si="14">IF(C22&gt;2,1,0)</f>
        <v>1</v>
      </c>
      <c r="F22">
        <f t="shared" ref="F22:F36" si="15">IF(C22&gt;3,1,0)</f>
        <v>1</v>
      </c>
      <c r="G22">
        <f t="shared" ref="G22:G36" si="16">IF(C22&gt;4,1,0)</f>
        <v>1</v>
      </c>
      <c r="H22">
        <f t="shared" ref="H22:H36" si="17">IF(C22&gt;5,1,0)</f>
        <v>1</v>
      </c>
      <c r="I22">
        <f t="shared" ref="I22:I36" si="18">IF(C22&gt;10,1,0)</f>
        <v>1</v>
      </c>
      <c r="J22">
        <v>120</v>
      </c>
      <c r="K22" t="s">
        <v>120</v>
      </c>
      <c r="L22">
        <f t="shared" si="6"/>
        <v>6.3078848560700873</v>
      </c>
      <c r="M22" s="18" t="s">
        <v>7</v>
      </c>
      <c r="N22">
        <v>4</v>
      </c>
      <c r="O22" s="18" t="s">
        <v>18</v>
      </c>
      <c r="P22">
        <v>8</v>
      </c>
      <c r="Q22" s="18" t="s">
        <v>19</v>
      </c>
      <c r="R22">
        <v>2</v>
      </c>
      <c r="V22" s="18"/>
    </row>
    <row r="23" spans="1:22" ht="15" thickBot="1" x14ac:dyDescent="0.25">
      <c r="A23" s="9" t="s">
        <v>34</v>
      </c>
      <c r="B23" s="18" t="s">
        <v>7</v>
      </c>
      <c r="C23">
        <v>2</v>
      </c>
      <c r="D23">
        <f t="shared" si="13"/>
        <v>1</v>
      </c>
      <c r="E23">
        <f t="shared" si="14"/>
        <v>0</v>
      </c>
      <c r="F23">
        <f t="shared" si="15"/>
        <v>0</v>
      </c>
      <c r="G23">
        <f t="shared" si="16"/>
        <v>0</v>
      </c>
      <c r="H23">
        <f t="shared" si="17"/>
        <v>0</v>
      </c>
      <c r="I23">
        <f t="shared" si="18"/>
        <v>0</v>
      </c>
      <c r="J23">
        <v>121</v>
      </c>
      <c r="K23">
        <v>19</v>
      </c>
      <c r="L23">
        <f t="shared" si="6"/>
        <v>0.90112640801001254</v>
      </c>
    </row>
    <row r="24" spans="1:22" ht="15" thickBot="1" x14ac:dyDescent="0.25">
      <c r="A24" s="1" t="s">
        <v>26</v>
      </c>
      <c r="B24" s="18" t="s">
        <v>11</v>
      </c>
      <c r="C24">
        <v>42</v>
      </c>
      <c r="D24">
        <f t="shared" si="13"/>
        <v>1</v>
      </c>
      <c r="E24">
        <f t="shared" si="14"/>
        <v>1</v>
      </c>
      <c r="F24">
        <f t="shared" si="15"/>
        <v>1</v>
      </c>
      <c r="G24">
        <f t="shared" si="16"/>
        <v>1</v>
      </c>
      <c r="H24">
        <f t="shared" si="17"/>
        <v>1</v>
      </c>
      <c r="I24">
        <f t="shared" si="18"/>
        <v>1</v>
      </c>
      <c r="J24">
        <v>122</v>
      </c>
      <c r="K24">
        <v>20</v>
      </c>
      <c r="L24">
        <f t="shared" si="6"/>
        <v>18.923654568210264</v>
      </c>
    </row>
    <row r="25" spans="1:22" ht="15" thickBot="1" x14ac:dyDescent="0.25">
      <c r="A25" s="9" t="s">
        <v>26</v>
      </c>
      <c r="B25" s="18" t="s">
        <v>5</v>
      </c>
      <c r="C25">
        <v>5</v>
      </c>
      <c r="D25">
        <f t="shared" si="13"/>
        <v>1</v>
      </c>
      <c r="E25">
        <f t="shared" si="14"/>
        <v>1</v>
      </c>
      <c r="F25">
        <f t="shared" si="15"/>
        <v>1</v>
      </c>
      <c r="G25">
        <f t="shared" si="16"/>
        <v>1</v>
      </c>
      <c r="H25">
        <f t="shared" si="17"/>
        <v>0</v>
      </c>
      <c r="I25">
        <f t="shared" si="18"/>
        <v>0</v>
      </c>
      <c r="J25">
        <v>123</v>
      </c>
      <c r="K25">
        <v>21</v>
      </c>
      <c r="L25">
        <f t="shared" si="6"/>
        <v>2.2528160200250311</v>
      </c>
    </row>
    <row r="26" spans="1:22" ht="15" thickBot="1" x14ac:dyDescent="0.25">
      <c r="A26" s="30" t="s">
        <v>30</v>
      </c>
      <c r="B26" s="18" t="s">
        <v>9</v>
      </c>
      <c r="C26">
        <v>4</v>
      </c>
      <c r="D26">
        <f t="shared" si="13"/>
        <v>1</v>
      </c>
      <c r="E26">
        <f t="shared" si="14"/>
        <v>1</v>
      </c>
      <c r="F26">
        <f t="shared" si="15"/>
        <v>1</v>
      </c>
      <c r="G26">
        <f t="shared" si="16"/>
        <v>0</v>
      </c>
      <c r="H26">
        <f t="shared" si="17"/>
        <v>0</v>
      </c>
      <c r="I26">
        <f t="shared" si="18"/>
        <v>0</v>
      </c>
      <c r="J26">
        <v>124</v>
      </c>
      <c r="K26">
        <v>22</v>
      </c>
      <c r="L26">
        <f t="shared" si="6"/>
        <v>1.8022528160200251</v>
      </c>
    </row>
    <row r="27" spans="1:22" ht="15" thickBot="1" x14ac:dyDescent="0.25">
      <c r="A27" s="1" t="s">
        <v>30</v>
      </c>
      <c r="B27" s="18" t="s">
        <v>12</v>
      </c>
      <c r="C27">
        <v>41</v>
      </c>
      <c r="D27">
        <f t="shared" si="13"/>
        <v>1</v>
      </c>
      <c r="E27">
        <f t="shared" si="14"/>
        <v>1</v>
      </c>
      <c r="F27">
        <f t="shared" si="15"/>
        <v>1</v>
      </c>
      <c r="G27">
        <f t="shared" si="16"/>
        <v>1</v>
      </c>
      <c r="H27">
        <f t="shared" si="17"/>
        <v>1</v>
      </c>
      <c r="I27">
        <f t="shared" si="18"/>
        <v>1</v>
      </c>
      <c r="J27">
        <v>125</v>
      </c>
      <c r="K27">
        <v>22</v>
      </c>
      <c r="L27">
        <f t="shared" si="6"/>
        <v>18.473091364205256</v>
      </c>
    </row>
    <row r="28" spans="1:22" ht="15" thickBot="1" x14ac:dyDescent="0.25">
      <c r="A28" s="10" t="s">
        <v>29</v>
      </c>
      <c r="B28" s="32" t="s">
        <v>20</v>
      </c>
      <c r="C28">
        <v>30</v>
      </c>
      <c r="D28">
        <f t="shared" si="13"/>
        <v>1</v>
      </c>
      <c r="E28">
        <f t="shared" si="14"/>
        <v>1</v>
      </c>
      <c r="F28">
        <f t="shared" si="15"/>
        <v>1</v>
      </c>
      <c r="G28">
        <f t="shared" si="16"/>
        <v>1</v>
      </c>
      <c r="H28">
        <f t="shared" si="17"/>
        <v>1</v>
      </c>
      <c r="I28">
        <f t="shared" si="18"/>
        <v>1</v>
      </c>
      <c r="J28">
        <v>126</v>
      </c>
      <c r="K28">
        <v>23</v>
      </c>
      <c r="L28">
        <f t="shared" si="6"/>
        <v>13.516896120150188</v>
      </c>
    </row>
    <row r="29" spans="1:22" ht="15" thickBot="1" x14ac:dyDescent="0.25">
      <c r="A29" s="8" t="s">
        <v>32</v>
      </c>
      <c r="B29" s="32" t="s">
        <v>20</v>
      </c>
      <c r="C29">
        <v>12</v>
      </c>
      <c r="D29">
        <f t="shared" si="13"/>
        <v>1</v>
      </c>
      <c r="E29">
        <f t="shared" si="14"/>
        <v>1</v>
      </c>
      <c r="F29">
        <f t="shared" si="15"/>
        <v>1</v>
      </c>
      <c r="G29">
        <f t="shared" si="16"/>
        <v>1</v>
      </c>
      <c r="H29">
        <f t="shared" si="17"/>
        <v>1</v>
      </c>
      <c r="I29">
        <f t="shared" si="18"/>
        <v>1</v>
      </c>
      <c r="J29">
        <v>127</v>
      </c>
      <c r="K29">
        <v>24</v>
      </c>
      <c r="L29">
        <f t="shared" si="6"/>
        <v>5.4067584480600752</v>
      </c>
    </row>
    <row r="30" spans="1:22" ht="15" thickBot="1" x14ac:dyDescent="0.25">
      <c r="A30" s="8" t="s">
        <v>33</v>
      </c>
      <c r="B30" s="32" t="s">
        <v>20</v>
      </c>
      <c r="C30">
        <v>1</v>
      </c>
      <c r="D30">
        <f t="shared" si="13"/>
        <v>0</v>
      </c>
      <c r="E30">
        <f t="shared" si="14"/>
        <v>0</v>
      </c>
      <c r="F30">
        <f t="shared" si="15"/>
        <v>0</v>
      </c>
      <c r="G30">
        <f t="shared" si="16"/>
        <v>0</v>
      </c>
      <c r="H30">
        <f t="shared" si="17"/>
        <v>0</v>
      </c>
      <c r="I30">
        <f t="shared" si="18"/>
        <v>0</v>
      </c>
      <c r="J30">
        <v>128</v>
      </c>
      <c r="K30">
        <v>25</v>
      </c>
      <c r="L30">
        <f t="shared" si="6"/>
        <v>0.45056320400500627</v>
      </c>
    </row>
    <row r="31" spans="1:22" ht="15" thickBot="1" x14ac:dyDescent="0.25">
      <c r="A31" s="1" t="s">
        <v>28</v>
      </c>
      <c r="B31" s="18" t="s">
        <v>14</v>
      </c>
      <c r="C31">
        <v>42</v>
      </c>
      <c r="D31">
        <f t="shared" si="13"/>
        <v>1</v>
      </c>
      <c r="E31">
        <f t="shared" si="14"/>
        <v>1</v>
      </c>
      <c r="F31">
        <f t="shared" si="15"/>
        <v>1</v>
      </c>
      <c r="G31">
        <f t="shared" si="16"/>
        <v>1</v>
      </c>
      <c r="H31">
        <f t="shared" si="17"/>
        <v>1</v>
      </c>
      <c r="I31">
        <f t="shared" si="18"/>
        <v>1</v>
      </c>
      <c r="J31">
        <v>129</v>
      </c>
      <c r="K31">
        <v>26</v>
      </c>
      <c r="L31">
        <f t="shared" si="6"/>
        <v>18.923654568210264</v>
      </c>
    </row>
    <row r="32" spans="1:22" ht="15" thickBot="1" x14ac:dyDescent="0.25">
      <c r="A32" s="9" t="s">
        <v>25</v>
      </c>
      <c r="B32" s="18" t="s">
        <v>3</v>
      </c>
      <c r="C32">
        <v>2</v>
      </c>
      <c r="D32">
        <f t="shared" si="13"/>
        <v>1</v>
      </c>
      <c r="E32">
        <f t="shared" si="14"/>
        <v>0</v>
      </c>
      <c r="F32">
        <f t="shared" si="15"/>
        <v>0</v>
      </c>
      <c r="G32">
        <f t="shared" si="16"/>
        <v>0</v>
      </c>
      <c r="H32">
        <f t="shared" si="17"/>
        <v>0</v>
      </c>
      <c r="I32">
        <f t="shared" si="18"/>
        <v>0</v>
      </c>
      <c r="J32">
        <v>130</v>
      </c>
      <c r="K32">
        <v>27</v>
      </c>
      <c r="L32">
        <f t="shared" si="6"/>
        <v>0.90112640801001254</v>
      </c>
    </row>
    <row r="33" spans="1:12" ht="15" thickBot="1" x14ac:dyDescent="0.25">
      <c r="A33" s="17" t="s">
        <v>25</v>
      </c>
      <c r="B33" s="18" t="s">
        <v>15</v>
      </c>
      <c r="C33">
        <v>41</v>
      </c>
      <c r="D33">
        <f t="shared" si="13"/>
        <v>1</v>
      </c>
      <c r="E33">
        <f t="shared" si="14"/>
        <v>1</v>
      </c>
      <c r="F33">
        <f t="shared" si="15"/>
        <v>1</v>
      </c>
      <c r="G33">
        <f t="shared" si="16"/>
        <v>1</v>
      </c>
      <c r="H33">
        <f t="shared" si="17"/>
        <v>1</v>
      </c>
      <c r="I33">
        <f t="shared" si="18"/>
        <v>1</v>
      </c>
      <c r="J33">
        <v>131</v>
      </c>
      <c r="K33">
        <v>27</v>
      </c>
      <c r="L33">
        <f t="shared" si="6"/>
        <v>18.473091364205256</v>
      </c>
    </row>
    <row r="34" spans="1:12" ht="15" thickBot="1" x14ac:dyDescent="0.25">
      <c r="A34" s="5" t="s">
        <v>25</v>
      </c>
      <c r="B34" s="18" t="s">
        <v>12</v>
      </c>
      <c r="C34">
        <v>1</v>
      </c>
      <c r="D34">
        <f t="shared" si="13"/>
        <v>0</v>
      </c>
      <c r="E34">
        <f t="shared" si="14"/>
        <v>0</v>
      </c>
      <c r="F34">
        <f t="shared" si="15"/>
        <v>0</v>
      </c>
      <c r="G34">
        <f t="shared" si="16"/>
        <v>0</v>
      </c>
      <c r="H34">
        <f t="shared" si="17"/>
        <v>0</v>
      </c>
      <c r="I34">
        <f t="shared" si="18"/>
        <v>0</v>
      </c>
      <c r="J34">
        <v>132</v>
      </c>
      <c r="K34">
        <v>28</v>
      </c>
      <c r="L34">
        <f t="shared" si="6"/>
        <v>0.45056320400500627</v>
      </c>
    </row>
    <row r="35" spans="1:12" ht="15" thickBot="1" x14ac:dyDescent="0.25">
      <c r="A35" s="29" t="s">
        <v>25</v>
      </c>
      <c r="B35" s="18" t="s">
        <v>9</v>
      </c>
      <c r="C35">
        <v>38</v>
      </c>
      <c r="D35">
        <f t="shared" si="13"/>
        <v>1</v>
      </c>
      <c r="E35">
        <f t="shared" si="14"/>
        <v>1</v>
      </c>
      <c r="F35">
        <f t="shared" si="15"/>
        <v>1</v>
      </c>
      <c r="G35">
        <f t="shared" si="16"/>
        <v>1</v>
      </c>
      <c r="H35">
        <f t="shared" si="17"/>
        <v>1</v>
      </c>
      <c r="I35">
        <f t="shared" si="18"/>
        <v>1</v>
      </c>
      <c r="J35">
        <v>133</v>
      </c>
      <c r="K35">
        <v>28</v>
      </c>
      <c r="L35">
        <f t="shared" si="6"/>
        <v>17.121401752190238</v>
      </c>
    </row>
    <row r="36" spans="1:12" x14ac:dyDescent="0.2">
      <c r="A36" s="9" t="s">
        <v>25</v>
      </c>
      <c r="B36" s="18" t="s">
        <v>17</v>
      </c>
      <c r="C36">
        <v>16</v>
      </c>
      <c r="D36">
        <f t="shared" si="13"/>
        <v>1</v>
      </c>
      <c r="E36">
        <f t="shared" si="14"/>
        <v>1</v>
      </c>
      <c r="F36">
        <f t="shared" si="15"/>
        <v>1</v>
      </c>
      <c r="G36">
        <f t="shared" si="16"/>
        <v>1</v>
      </c>
      <c r="H36">
        <f t="shared" si="17"/>
        <v>1</v>
      </c>
      <c r="I36">
        <f t="shared" si="18"/>
        <v>1</v>
      </c>
      <c r="J36">
        <v>134</v>
      </c>
      <c r="K36">
        <v>29</v>
      </c>
      <c r="L36">
        <f t="shared" si="6"/>
        <v>7.2090112640801003</v>
      </c>
    </row>
    <row r="37" spans="1:12" x14ac:dyDescent="0.2">
      <c r="C37">
        <f t="shared" ref="C37:I37" si="19">SUM(C2:C36)</f>
        <v>799</v>
      </c>
      <c r="D37">
        <f t="shared" si="19"/>
        <v>28</v>
      </c>
      <c r="E37">
        <f t="shared" si="19"/>
        <v>25</v>
      </c>
      <c r="F37">
        <f t="shared" si="19"/>
        <v>24</v>
      </c>
      <c r="G37">
        <f t="shared" si="19"/>
        <v>23</v>
      </c>
      <c r="H37">
        <f t="shared" si="19"/>
        <v>22</v>
      </c>
      <c r="I37">
        <f t="shared" si="19"/>
        <v>21</v>
      </c>
    </row>
    <row r="41" spans="1:12" x14ac:dyDescent="0.2">
      <c r="A41" s="1" t="s">
        <v>23</v>
      </c>
      <c r="B41" s="1" t="s">
        <v>21</v>
      </c>
    </row>
    <row r="42" spans="1:12" x14ac:dyDescent="0.2">
      <c r="A42" s="1" t="s">
        <v>22</v>
      </c>
    </row>
    <row r="43" spans="1:12" x14ac:dyDescent="0.2">
      <c r="A43" s="9" t="s">
        <v>25</v>
      </c>
    </row>
    <row r="44" spans="1:12" x14ac:dyDescent="0.2">
      <c r="A44" s="9" t="s">
        <v>26</v>
      </c>
    </row>
    <row r="45" spans="1:12" x14ac:dyDescent="0.2">
      <c r="A45" s="1" t="s">
        <v>24</v>
      </c>
    </row>
    <row r="46" spans="1:12" x14ac:dyDescent="0.2">
      <c r="A46" s="9" t="s">
        <v>31</v>
      </c>
      <c r="B46" s="9" t="s">
        <v>34</v>
      </c>
    </row>
    <row r="47" spans="1:12" x14ac:dyDescent="0.2">
      <c r="A47" s="30" t="s">
        <v>30</v>
      </c>
    </row>
    <row r="48" spans="1:12" ht="15" thickBot="1" x14ac:dyDescent="0.25">
      <c r="A48" s="1" t="s">
        <v>29</v>
      </c>
      <c r="B48" s="38" t="s">
        <v>32</v>
      </c>
    </row>
    <row r="49" spans="1:1" x14ac:dyDescent="0.2">
      <c r="A49" s="8" t="s">
        <v>33</v>
      </c>
    </row>
    <row r="50" spans="1:1" x14ac:dyDescent="0.2">
      <c r="A50" s="1" t="s">
        <v>28</v>
      </c>
    </row>
  </sheetData>
  <autoFilter ref="V1:V64" xr:uid="{CCF8AFE7-D0F8-4AF6-BF1E-F1FDD0C2A93E}">
    <sortState ref="V2:V64">
      <sortCondition ref="V1:V64"/>
    </sortState>
  </autoFilter>
  <phoneticPr fontId="5" type="noConversion"/>
  <conditionalFormatting sqref="I12:I18 I22 I2:I10 I20 I24:I3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1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3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3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A94D-CC58-449D-928E-ACBAB426D3E7}">
  <dimension ref="A1:J69"/>
  <sheetViews>
    <sheetView workbookViewId="0">
      <selection activeCell="R18" sqref="R18"/>
    </sheetView>
  </sheetViews>
  <sheetFormatPr defaultRowHeight="14.25" x14ac:dyDescent="0.2"/>
  <cols>
    <col min="3" max="3" width="3.5" bestFit="1" customWidth="1"/>
    <col min="4" max="9" width="3.5" customWidth="1"/>
  </cols>
  <sheetData>
    <row r="1" spans="1:10" ht="15" thickBot="1" x14ac:dyDescent="0.25">
      <c r="C1" t="s">
        <v>108</v>
      </c>
      <c r="D1" t="s">
        <v>112</v>
      </c>
      <c r="E1" t="s">
        <v>113</v>
      </c>
      <c r="F1" t="s">
        <v>114</v>
      </c>
      <c r="G1" t="s">
        <v>116</v>
      </c>
      <c r="H1" t="s">
        <v>115</v>
      </c>
      <c r="I1" t="s">
        <v>117</v>
      </c>
    </row>
    <row r="2" spans="1:10" ht="15" thickBot="1" x14ac:dyDescent="0.25">
      <c r="A2" s="1" t="s">
        <v>21</v>
      </c>
      <c r="B2" s="18" t="s">
        <v>2</v>
      </c>
      <c r="C2">
        <v>42</v>
      </c>
      <c r="D2">
        <f t="shared" ref="D2:D33" si="0">IF(C2&gt;1,1,0)</f>
        <v>1</v>
      </c>
      <c r="E2">
        <f t="shared" ref="E2:E33" si="1">IF(C2&gt;2,1,0)</f>
        <v>1</v>
      </c>
      <c r="F2">
        <f t="shared" ref="F2:F33" si="2">IF(C2&gt;3,1,0)</f>
        <v>1</v>
      </c>
      <c r="G2">
        <f t="shared" ref="G2:G33" si="3">IF(C2&gt;4,1,0)</f>
        <v>1</v>
      </c>
      <c r="H2">
        <f t="shared" ref="H2:H33" si="4">IF(C2&gt;5,1,0)</f>
        <v>1</v>
      </c>
      <c r="I2">
        <f t="shared" ref="I2:I33" si="5">IF(C2&gt;10,1,0)</f>
        <v>1</v>
      </c>
      <c r="J2">
        <v>1</v>
      </c>
    </row>
    <row r="3" spans="1:10" ht="15" thickBot="1" x14ac:dyDescent="0.25">
      <c r="A3" s="1" t="s">
        <v>23</v>
      </c>
      <c r="B3" s="18" t="s">
        <v>4</v>
      </c>
      <c r="C3">
        <v>42</v>
      </c>
      <c r="D3">
        <f t="shared" si="0"/>
        <v>1</v>
      </c>
      <c r="E3">
        <f t="shared" si="1"/>
        <v>1</v>
      </c>
      <c r="F3">
        <f t="shared" si="2"/>
        <v>1</v>
      </c>
      <c r="G3">
        <f t="shared" si="3"/>
        <v>1</v>
      </c>
      <c r="H3">
        <f t="shared" si="4"/>
        <v>1</v>
      </c>
      <c r="I3">
        <f t="shared" si="5"/>
        <v>1</v>
      </c>
      <c r="J3">
        <v>2</v>
      </c>
    </row>
    <row r="4" spans="1:10" ht="15" thickBot="1" x14ac:dyDescent="0.25">
      <c r="A4" s="1" t="s">
        <v>23</v>
      </c>
      <c r="B4" s="18" t="s">
        <v>13</v>
      </c>
      <c r="C4">
        <v>42</v>
      </c>
      <c r="D4">
        <f t="shared" si="0"/>
        <v>1</v>
      </c>
      <c r="E4">
        <f t="shared" si="1"/>
        <v>1</v>
      </c>
      <c r="F4">
        <f t="shared" si="2"/>
        <v>1</v>
      </c>
      <c r="G4">
        <f t="shared" si="3"/>
        <v>1</v>
      </c>
      <c r="H4">
        <f t="shared" si="4"/>
        <v>1</v>
      </c>
      <c r="I4">
        <f t="shared" si="5"/>
        <v>1</v>
      </c>
      <c r="J4">
        <v>2</v>
      </c>
    </row>
    <row r="5" spans="1:10" ht="15" thickBot="1" x14ac:dyDescent="0.25">
      <c r="A5" s="1" t="s">
        <v>23</v>
      </c>
      <c r="B5" s="18" t="s">
        <v>16</v>
      </c>
      <c r="C5">
        <v>42</v>
      </c>
      <c r="D5">
        <f t="shared" si="0"/>
        <v>1</v>
      </c>
      <c r="E5">
        <f t="shared" si="1"/>
        <v>1</v>
      </c>
      <c r="F5">
        <f t="shared" si="2"/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v>2</v>
      </c>
    </row>
    <row r="6" spans="1:10" ht="15" thickBot="1" x14ac:dyDescent="0.25">
      <c r="A6" s="1" t="s">
        <v>23</v>
      </c>
      <c r="B6" s="18" t="s">
        <v>10</v>
      </c>
      <c r="C6">
        <v>41</v>
      </c>
      <c r="D6">
        <f t="shared" si="0"/>
        <v>1</v>
      </c>
      <c r="E6">
        <f t="shared" si="1"/>
        <v>1</v>
      </c>
      <c r="F6">
        <f t="shared" si="2"/>
        <v>1</v>
      </c>
      <c r="G6">
        <f t="shared" si="3"/>
        <v>1</v>
      </c>
      <c r="H6">
        <f t="shared" si="4"/>
        <v>1</v>
      </c>
      <c r="I6">
        <f t="shared" si="5"/>
        <v>1</v>
      </c>
      <c r="J6">
        <v>3</v>
      </c>
    </row>
    <row r="7" spans="1:10" ht="15" thickBot="1" x14ac:dyDescent="0.25">
      <c r="A7" s="25" t="s">
        <v>23</v>
      </c>
      <c r="B7" s="18" t="s">
        <v>6</v>
      </c>
      <c r="C7">
        <v>3</v>
      </c>
      <c r="D7">
        <f t="shared" si="0"/>
        <v>1</v>
      </c>
      <c r="E7">
        <f t="shared" si="1"/>
        <v>1</v>
      </c>
      <c r="F7">
        <f t="shared" si="2"/>
        <v>0</v>
      </c>
      <c r="G7">
        <f t="shared" si="3"/>
        <v>0</v>
      </c>
      <c r="H7">
        <f t="shared" si="4"/>
        <v>0</v>
      </c>
      <c r="I7">
        <f t="shared" si="5"/>
        <v>0</v>
      </c>
      <c r="J7">
        <v>3</v>
      </c>
    </row>
    <row r="8" spans="1:10" ht="15" thickBot="1" x14ac:dyDescent="0.25">
      <c r="A8" s="1" t="s">
        <v>23</v>
      </c>
      <c r="B8" s="18" t="s">
        <v>8</v>
      </c>
      <c r="C8">
        <v>41</v>
      </c>
      <c r="D8">
        <f t="shared" si="0"/>
        <v>1</v>
      </c>
      <c r="E8">
        <f t="shared" si="1"/>
        <v>1</v>
      </c>
      <c r="F8">
        <f t="shared" si="2"/>
        <v>1</v>
      </c>
      <c r="G8">
        <f t="shared" si="3"/>
        <v>1</v>
      </c>
      <c r="H8">
        <f t="shared" si="4"/>
        <v>1</v>
      </c>
      <c r="I8">
        <f t="shared" si="5"/>
        <v>1</v>
      </c>
      <c r="J8">
        <v>4</v>
      </c>
    </row>
    <row r="9" spans="1:10" ht="15" thickBot="1" x14ac:dyDescent="0.25">
      <c r="A9" s="5" t="s">
        <v>23</v>
      </c>
      <c r="B9" s="18" t="s">
        <v>7</v>
      </c>
      <c r="C9">
        <f>1/3</f>
        <v>0.33333333333333331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0</v>
      </c>
      <c r="J9">
        <v>4</v>
      </c>
    </row>
    <row r="10" spans="1:10" ht="15" thickBot="1" x14ac:dyDescent="0.25">
      <c r="A10" s="1" t="s">
        <v>23</v>
      </c>
      <c r="B10" s="18" t="s">
        <v>17</v>
      </c>
      <c r="C10">
        <v>26</v>
      </c>
      <c r="D10">
        <f t="shared" si="0"/>
        <v>1</v>
      </c>
      <c r="E10">
        <f t="shared" si="1"/>
        <v>1</v>
      </c>
      <c r="F10">
        <f t="shared" si="2"/>
        <v>1</v>
      </c>
      <c r="G10">
        <f t="shared" si="3"/>
        <v>1</v>
      </c>
      <c r="H10">
        <f t="shared" si="4"/>
        <v>1</v>
      </c>
      <c r="I10">
        <f t="shared" si="5"/>
        <v>1</v>
      </c>
      <c r="J10">
        <v>5</v>
      </c>
    </row>
    <row r="11" spans="1:10" ht="15" thickBot="1" x14ac:dyDescent="0.25">
      <c r="A11" s="5" t="s">
        <v>23</v>
      </c>
      <c r="B11" s="18" t="s">
        <v>7</v>
      </c>
      <c r="C11">
        <f>1/3</f>
        <v>0.33333333333333331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v>6</v>
      </c>
    </row>
    <row r="12" spans="1:10" ht="15" thickBot="1" x14ac:dyDescent="0.25">
      <c r="A12" s="5" t="s">
        <v>23</v>
      </c>
      <c r="B12" s="18" t="s">
        <v>7</v>
      </c>
      <c r="C12">
        <f>1/3</f>
        <v>0.33333333333333331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v>7</v>
      </c>
    </row>
    <row r="13" spans="1:10" ht="15" thickBot="1" x14ac:dyDescent="0.25">
      <c r="A13" s="1" t="s">
        <v>22</v>
      </c>
      <c r="B13" s="18" t="s">
        <v>3</v>
      </c>
      <c r="C13">
        <v>40</v>
      </c>
      <c r="D13">
        <f t="shared" si="0"/>
        <v>1</v>
      </c>
      <c r="E13">
        <f t="shared" si="1"/>
        <v>1</v>
      </c>
      <c r="F13">
        <f t="shared" si="2"/>
        <v>1</v>
      </c>
      <c r="G13">
        <f t="shared" si="3"/>
        <v>1</v>
      </c>
      <c r="H13">
        <f t="shared" si="4"/>
        <v>1</v>
      </c>
      <c r="I13">
        <f t="shared" si="5"/>
        <v>1</v>
      </c>
      <c r="J13">
        <v>8</v>
      </c>
    </row>
    <row r="14" spans="1:10" ht="15" thickBot="1" x14ac:dyDescent="0.25">
      <c r="A14" s="9" t="s">
        <v>22</v>
      </c>
      <c r="B14" s="18" t="s">
        <v>15</v>
      </c>
      <c r="C14">
        <v>1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  <c r="I14">
        <f t="shared" si="5"/>
        <v>0</v>
      </c>
      <c r="J14">
        <v>8</v>
      </c>
    </row>
    <row r="15" spans="1:10" ht="15" thickBot="1" x14ac:dyDescent="0.25">
      <c r="A15" s="1" t="s">
        <v>22</v>
      </c>
      <c r="B15" s="18" t="s">
        <v>6</v>
      </c>
      <c r="C15">
        <v>39</v>
      </c>
      <c r="D15">
        <f t="shared" si="0"/>
        <v>1</v>
      </c>
      <c r="E15">
        <f t="shared" si="1"/>
        <v>1</v>
      </c>
      <c r="F15">
        <f t="shared" si="2"/>
        <v>1</v>
      </c>
      <c r="G15">
        <f t="shared" si="3"/>
        <v>1</v>
      </c>
      <c r="H15">
        <f t="shared" si="4"/>
        <v>1</v>
      </c>
      <c r="I15">
        <f t="shared" si="5"/>
        <v>1</v>
      </c>
      <c r="J15">
        <v>9</v>
      </c>
    </row>
    <row r="16" spans="1:10" ht="15" thickBot="1" x14ac:dyDescent="0.25">
      <c r="A16" s="9" t="s">
        <v>22</v>
      </c>
      <c r="B16" s="18" t="s">
        <v>10</v>
      </c>
      <c r="C16">
        <v>1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>
        <v>9</v>
      </c>
    </row>
    <row r="17" spans="1:10" ht="15" thickBot="1" x14ac:dyDescent="0.25">
      <c r="A17" s="1" t="s">
        <v>22</v>
      </c>
      <c r="B17" s="18" t="s">
        <v>5</v>
      </c>
      <c r="C17">
        <v>37</v>
      </c>
      <c r="D17">
        <f t="shared" si="0"/>
        <v>1</v>
      </c>
      <c r="E17">
        <f t="shared" si="1"/>
        <v>1</v>
      </c>
      <c r="F17">
        <f t="shared" si="2"/>
        <v>1</v>
      </c>
      <c r="G17">
        <f t="shared" si="3"/>
        <v>1</v>
      </c>
      <c r="H17">
        <f t="shared" si="4"/>
        <v>1</v>
      </c>
      <c r="I17">
        <f t="shared" si="5"/>
        <v>1</v>
      </c>
      <c r="J17">
        <v>10</v>
      </c>
    </row>
    <row r="18" spans="1:10" ht="15" thickBot="1" x14ac:dyDescent="0.25">
      <c r="A18" s="1" t="s">
        <v>24</v>
      </c>
      <c r="B18" s="18" t="s">
        <v>7</v>
      </c>
      <c r="C18">
        <v>10</v>
      </c>
      <c r="D18">
        <f t="shared" si="0"/>
        <v>1</v>
      </c>
      <c r="E18">
        <f t="shared" si="1"/>
        <v>1</v>
      </c>
      <c r="F18">
        <f t="shared" si="2"/>
        <v>1</v>
      </c>
      <c r="G18">
        <f t="shared" si="3"/>
        <v>1</v>
      </c>
      <c r="H18">
        <f t="shared" si="4"/>
        <v>1</v>
      </c>
      <c r="I18">
        <f t="shared" si="5"/>
        <v>0</v>
      </c>
      <c r="J18">
        <v>11</v>
      </c>
    </row>
    <row r="19" spans="1:10" ht="15" thickBot="1" x14ac:dyDescent="0.25">
      <c r="A19" s="1" t="s">
        <v>24</v>
      </c>
      <c r="B19" s="18" t="s">
        <v>18</v>
      </c>
      <c r="C19">
        <v>13</v>
      </c>
      <c r="D19">
        <f t="shared" si="0"/>
        <v>1</v>
      </c>
      <c r="E19">
        <f t="shared" si="1"/>
        <v>1</v>
      </c>
      <c r="F19">
        <f t="shared" si="2"/>
        <v>1</v>
      </c>
      <c r="G19">
        <f t="shared" si="3"/>
        <v>1</v>
      </c>
      <c r="H19">
        <f t="shared" si="4"/>
        <v>1</v>
      </c>
      <c r="I19">
        <f t="shared" si="5"/>
        <v>1</v>
      </c>
      <c r="J19">
        <v>11</v>
      </c>
    </row>
    <row r="20" spans="1:10" ht="15" thickBot="1" x14ac:dyDescent="0.25">
      <c r="A20" s="1" t="s">
        <v>24</v>
      </c>
      <c r="B20" s="18" t="s">
        <v>19</v>
      </c>
      <c r="C20">
        <v>19</v>
      </c>
      <c r="D20">
        <f t="shared" si="0"/>
        <v>1</v>
      </c>
      <c r="E20">
        <f t="shared" si="1"/>
        <v>1</v>
      </c>
      <c r="F20">
        <f t="shared" si="2"/>
        <v>1</v>
      </c>
      <c r="G20">
        <f t="shared" si="3"/>
        <v>1</v>
      </c>
      <c r="H20">
        <f t="shared" si="4"/>
        <v>1</v>
      </c>
      <c r="I20">
        <f t="shared" si="5"/>
        <v>1</v>
      </c>
      <c r="J20">
        <v>11</v>
      </c>
    </row>
    <row r="21" spans="1:10" ht="15" thickBot="1" x14ac:dyDescent="0.25">
      <c r="A21" s="1" t="s">
        <v>24</v>
      </c>
      <c r="B21" s="18" t="s">
        <v>7</v>
      </c>
      <c r="C21">
        <v>10</v>
      </c>
      <c r="D21">
        <f t="shared" si="0"/>
        <v>1</v>
      </c>
      <c r="E21">
        <f t="shared" si="1"/>
        <v>1</v>
      </c>
      <c r="F21">
        <f t="shared" si="2"/>
        <v>1</v>
      </c>
      <c r="G21">
        <f t="shared" si="3"/>
        <v>1</v>
      </c>
      <c r="H21">
        <f t="shared" si="4"/>
        <v>1</v>
      </c>
      <c r="I21">
        <f t="shared" si="5"/>
        <v>0</v>
      </c>
      <c r="J21">
        <v>12</v>
      </c>
    </row>
    <row r="22" spans="1:10" ht="15" thickBot="1" x14ac:dyDescent="0.25">
      <c r="A22" s="1" t="s">
        <v>24</v>
      </c>
      <c r="B22" s="18" t="s">
        <v>18</v>
      </c>
      <c r="C22">
        <v>13</v>
      </c>
      <c r="D22">
        <f t="shared" si="0"/>
        <v>1</v>
      </c>
      <c r="E22">
        <f t="shared" si="1"/>
        <v>1</v>
      </c>
      <c r="F22">
        <f t="shared" si="2"/>
        <v>1</v>
      </c>
      <c r="G22">
        <f t="shared" si="3"/>
        <v>1</v>
      </c>
      <c r="H22">
        <f t="shared" si="4"/>
        <v>1</v>
      </c>
      <c r="I22">
        <f t="shared" si="5"/>
        <v>1</v>
      </c>
      <c r="J22">
        <v>12</v>
      </c>
    </row>
    <row r="23" spans="1:10" ht="15" thickBot="1" x14ac:dyDescent="0.25">
      <c r="A23" s="1" t="s">
        <v>24</v>
      </c>
      <c r="B23" s="18" t="s">
        <v>19</v>
      </c>
      <c r="C23">
        <v>19</v>
      </c>
      <c r="D23">
        <f t="shared" si="0"/>
        <v>1</v>
      </c>
      <c r="E23">
        <f t="shared" si="1"/>
        <v>1</v>
      </c>
      <c r="F23">
        <f t="shared" si="2"/>
        <v>1</v>
      </c>
      <c r="G23">
        <f t="shared" si="3"/>
        <v>1</v>
      </c>
      <c r="H23">
        <f t="shared" si="4"/>
        <v>1</v>
      </c>
      <c r="I23">
        <f t="shared" si="5"/>
        <v>1</v>
      </c>
      <c r="J23">
        <v>12</v>
      </c>
    </row>
    <row r="24" spans="1:10" ht="15" thickBot="1" x14ac:dyDescent="0.25">
      <c r="A24" s="5" t="s">
        <v>24</v>
      </c>
      <c r="B24" s="18" t="s">
        <v>8</v>
      </c>
      <c r="C24">
        <v>1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f t="shared" si="5"/>
        <v>0</v>
      </c>
      <c r="J24">
        <v>13</v>
      </c>
    </row>
    <row r="25" spans="1:10" ht="15" thickBot="1" x14ac:dyDescent="0.25">
      <c r="A25" s="1" t="s">
        <v>24</v>
      </c>
      <c r="B25" s="18" t="s">
        <v>7</v>
      </c>
      <c r="C25">
        <v>10</v>
      </c>
      <c r="D25">
        <f t="shared" si="0"/>
        <v>1</v>
      </c>
      <c r="E25">
        <f t="shared" si="1"/>
        <v>1</v>
      </c>
      <c r="F25">
        <f t="shared" si="2"/>
        <v>1</v>
      </c>
      <c r="G25">
        <f t="shared" si="3"/>
        <v>1</v>
      </c>
      <c r="H25">
        <f t="shared" si="4"/>
        <v>1</v>
      </c>
      <c r="I25">
        <f t="shared" si="5"/>
        <v>0</v>
      </c>
      <c r="J25">
        <v>13</v>
      </c>
    </row>
    <row r="26" spans="1:10" ht="15" thickBot="1" x14ac:dyDescent="0.25">
      <c r="A26" s="9" t="s">
        <v>31</v>
      </c>
      <c r="B26" s="18" t="s">
        <v>7</v>
      </c>
      <c r="C26">
        <f>5/3</f>
        <v>1.6666666666666667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v>14</v>
      </c>
    </row>
    <row r="27" spans="1:10" ht="15" thickBot="1" x14ac:dyDescent="0.25">
      <c r="A27" s="9" t="s">
        <v>31</v>
      </c>
      <c r="B27" s="18" t="s">
        <v>18</v>
      </c>
      <c r="C27">
        <v>4</v>
      </c>
      <c r="D27">
        <f t="shared" si="0"/>
        <v>1</v>
      </c>
      <c r="E27">
        <f t="shared" si="1"/>
        <v>1</v>
      </c>
      <c r="F27">
        <f t="shared" si="2"/>
        <v>1</v>
      </c>
      <c r="G27">
        <f t="shared" si="3"/>
        <v>0</v>
      </c>
      <c r="H27">
        <f t="shared" si="4"/>
        <v>0</v>
      </c>
      <c r="I27">
        <f t="shared" si="5"/>
        <v>0</v>
      </c>
      <c r="J27">
        <v>14</v>
      </c>
    </row>
    <row r="28" spans="1:10" ht="15" thickBot="1" x14ac:dyDescent="0.25">
      <c r="A28" s="9" t="s">
        <v>31</v>
      </c>
      <c r="B28" s="18" t="s">
        <v>19</v>
      </c>
      <c r="C28">
        <v>1</v>
      </c>
      <c r="D28">
        <f t="shared" si="0"/>
        <v>0</v>
      </c>
      <c r="E28">
        <f t="shared" si="1"/>
        <v>0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v>14</v>
      </c>
    </row>
    <row r="29" spans="1:10" ht="15" thickBot="1" x14ac:dyDescent="0.25">
      <c r="A29" s="9" t="s">
        <v>31</v>
      </c>
      <c r="B29" s="18" t="s">
        <v>7</v>
      </c>
      <c r="C29">
        <f>5/3</f>
        <v>1.6666666666666667</v>
      </c>
      <c r="D29">
        <f t="shared" si="0"/>
        <v>1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0</v>
      </c>
      <c r="I29">
        <f t="shared" si="5"/>
        <v>0</v>
      </c>
      <c r="J29">
        <v>15</v>
      </c>
    </row>
    <row r="30" spans="1:10" ht="15" thickBot="1" x14ac:dyDescent="0.25">
      <c r="A30" s="9" t="s">
        <v>31</v>
      </c>
      <c r="B30" s="18" t="s">
        <v>18</v>
      </c>
      <c r="C30">
        <v>4</v>
      </c>
      <c r="D30">
        <f t="shared" si="0"/>
        <v>1</v>
      </c>
      <c r="E30">
        <f t="shared" si="1"/>
        <v>1</v>
      </c>
      <c r="F30">
        <f t="shared" si="2"/>
        <v>1</v>
      </c>
      <c r="G30">
        <f t="shared" si="3"/>
        <v>0</v>
      </c>
      <c r="H30">
        <f t="shared" si="4"/>
        <v>0</v>
      </c>
      <c r="I30">
        <f t="shared" si="5"/>
        <v>0</v>
      </c>
      <c r="J30">
        <v>15</v>
      </c>
    </row>
    <row r="31" spans="1:10" ht="15" thickBot="1" x14ac:dyDescent="0.25">
      <c r="A31" s="9" t="s">
        <v>31</v>
      </c>
      <c r="B31" s="18" t="s">
        <v>19</v>
      </c>
      <c r="C31">
        <v>1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  <c r="I31">
        <f t="shared" si="5"/>
        <v>0</v>
      </c>
      <c r="J31">
        <v>15</v>
      </c>
    </row>
    <row r="32" spans="1:10" ht="15" thickBot="1" x14ac:dyDescent="0.25">
      <c r="A32" s="9" t="s">
        <v>31</v>
      </c>
      <c r="B32" s="18" t="s">
        <v>7</v>
      </c>
      <c r="C32">
        <f>5/3</f>
        <v>1.6666666666666667</v>
      </c>
      <c r="D32">
        <f t="shared" si="0"/>
        <v>1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f t="shared" si="5"/>
        <v>0</v>
      </c>
      <c r="J32">
        <v>16</v>
      </c>
    </row>
    <row r="33" spans="1:10" ht="15" thickBot="1" x14ac:dyDescent="0.25">
      <c r="A33" s="9" t="s">
        <v>34</v>
      </c>
      <c r="B33" s="18" t="s">
        <v>7</v>
      </c>
      <c r="C33">
        <v>2</v>
      </c>
      <c r="D33">
        <f t="shared" si="0"/>
        <v>1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v>17</v>
      </c>
    </row>
    <row r="34" spans="1:10" ht="15" thickBot="1" x14ac:dyDescent="0.25">
      <c r="A34" s="16" t="s">
        <v>34</v>
      </c>
      <c r="B34" s="18" t="s">
        <v>18</v>
      </c>
      <c r="C34">
        <v>4</v>
      </c>
      <c r="D34">
        <f t="shared" ref="D34:D55" si="6">IF(C34&gt;1,1,0)</f>
        <v>1</v>
      </c>
      <c r="E34">
        <f t="shared" ref="E34:E55" si="7">IF(C34&gt;2,1,0)</f>
        <v>1</v>
      </c>
      <c r="F34">
        <f t="shared" ref="F34:F55" si="8">IF(C34&gt;3,1,0)</f>
        <v>1</v>
      </c>
      <c r="G34">
        <f t="shared" ref="G34:G55" si="9">IF(C34&gt;4,1,0)</f>
        <v>0</v>
      </c>
      <c r="H34">
        <f t="shared" ref="H34:H55" si="10">IF(C34&gt;5,1,0)</f>
        <v>0</v>
      </c>
      <c r="I34">
        <f t="shared" ref="I34:I55" si="11">IF(C34&gt;10,1,0)</f>
        <v>0</v>
      </c>
      <c r="J34">
        <v>17</v>
      </c>
    </row>
    <row r="35" spans="1:10" ht="15" thickBot="1" x14ac:dyDescent="0.25">
      <c r="A35" s="16" t="s">
        <v>34</v>
      </c>
      <c r="B35" s="18" t="s">
        <v>19</v>
      </c>
      <c r="C35">
        <v>1</v>
      </c>
      <c r="D35">
        <f t="shared" si="6"/>
        <v>0</v>
      </c>
      <c r="E35">
        <f t="shared" si="7"/>
        <v>0</v>
      </c>
      <c r="F35">
        <f t="shared" si="8"/>
        <v>0</v>
      </c>
      <c r="G35">
        <f t="shared" si="9"/>
        <v>0</v>
      </c>
      <c r="H35">
        <f t="shared" si="10"/>
        <v>0</v>
      </c>
      <c r="I35">
        <f t="shared" si="11"/>
        <v>0</v>
      </c>
      <c r="J35">
        <v>17</v>
      </c>
    </row>
    <row r="36" spans="1:10" ht="15" thickBot="1" x14ac:dyDescent="0.25">
      <c r="A36" s="9" t="s">
        <v>34</v>
      </c>
      <c r="B36" s="18" t="s">
        <v>7</v>
      </c>
      <c r="C36">
        <v>2</v>
      </c>
      <c r="D36">
        <f t="shared" si="6"/>
        <v>1</v>
      </c>
      <c r="E36">
        <f t="shared" si="7"/>
        <v>0</v>
      </c>
      <c r="F36">
        <f t="shared" si="8"/>
        <v>0</v>
      </c>
      <c r="G36">
        <f t="shared" si="9"/>
        <v>0</v>
      </c>
      <c r="H36">
        <f t="shared" si="10"/>
        <v>0</v>
      </c>
      <c r="I36">
        <f t="shared" si="11"/>
        <v>0</v>
      </c>
      <c r="J36">
        <v>18</v>
      </c>
    </row>
    <row r="37" spans="1:10" ht="15" thickBot="1" x14ac:dyDescent="0.25">
      <c r="A37" s="16" t="s">
        <v>34</v>
      </c>
      <c r="B37" s="18" t="s">
        <v>18</v>
      </c>
      <c r="C37">
        <v>4</v>
      </c>
      <c r="D37">
        <f t="shared" si="6"/>
        <v>1</v>
      </c>
      <c r="E37">
        <f t="shared" si="7"/>
        <v>1</v>
      </c>
      <c r="F37">
        <f t="shared" si="8"/>
        <v>1</v>
      </c>
      <c r="G37">
        <f t="shared" si="9"/>
        <v>0</v>
      </c>
      <c r="H37">
        <f t="shared" si="10"/>
        <v>0</v>
      </c>
      <c r="I37">
        <f t="shared" si="11"/>
        <v>0</v>
      </c>
      <c r="J37">
        <v>18</v>
      </c>
    </row>
    <row r="38" spans="1:10" ht="15" thickBot="1" x14ac:dyDescent="0.25">
      <c r="A38" s="16" t="s">
        <v>34</v>
      </c>
      <c r="B38" s="18" t="s">
        <v>19</v>
      </c>
      <c r="C38">
        <v>1</v>
      </c>
      <c r="D38">
        <f t="shared" si="6"/>
        <v>0</v>
      </c>
      <c r="E38">
        <f t="shared" si="7"/>
        <v>0</v>
      </c>
      <c r="F38">
        <f t="shared" si="8"/>
        <v>0</v>
      </c>
      <c r="G38">
        <f t="shared" si="9"/>
        <v>0</v>
      </c>
      <c r="H38">
        <f t="shared" si="10"/>
        <v>0</v>
      </c>
      <c r="I38">
        <f t="shared" si="11"/>
        <v>0</v>
      </c>
      <c r="J38">
        <v>18</v>
      </c>
    </row>
    <row r="39" spans="1:10" ht="15" thickBot="1" x14ac:dyDescent="0.25">
      <c r="A39" s="9" t="s">
        <v>34</v>
      </c>
      <c r="B39" s="18" t="s">
        <v>7</v>
      </c>
      <c r="C39">
        <v>2</v>
      </c>
      <c r="D39">
        <f t="shared" si="6"/>
        <v>1</v>
      </c>
      <c r="E39">
        <f t="shared" si="7"/>
        <v>0</v>
      </c>
      <c r="F39">
        <f t="shared" si="8"/>
        <v>0</v>
      </c>
      <c r="G39">
        <f t="shared" si="9"/>
        <v>0</v>
      </c>
      <c r="H39">
        <f t="shared" si="10"/>
        <v>0</v>
      </c>
      <c r="I39">
        <f t="shared" si="11"/>
        <v>0</v>
      </c>
      <c r="J39">
        <v>19</v>
      </c>
    </row>
    <row r="40" spans="1:10" ht="15" thickBot="1" x14ac:dyDescent="0.25">
      <c r="A40" s="1" t="s">
        <v>26</v>
      </c>
      <c r="B40" s="18" t="s">
        <v>11</v>
      </c>
      <c r="C40">
        <v>42</v>
      </c>
      <c r="D40">
        <f t="shared" si="6"/>
        <v>1</v>
      </c>
      <c r="E40">
        <f t="shared" si="7"/>
        <v>1</v>
      </c>
      <c r="F40">
        <f t="shared" si="8"/>
        <v>1</v>
      </c>
      <c r="G40">
        <f t="shared" si="9"/>
        <v>1</v>
      </c>
      <c r="H40">
        <f t="shared" si="10"/>
        <v>1</v>
      </c>
      <c r="I40">
        <f t="shared" si="11"/>
        <v>1</v>
      </c>
      <c r="J40">
        <v>20</v>
      </c>
    </row>
    <row r="41" spans="1:10" ht="15" thickBot="1" x14ac:dyDescent="0.25">
      <c r="A41" s="9" t="s">
        <v>26</v>
      </c>
      <c r="B41" s="18" t="s">
        <v>5</v>
      </c>
      <c r="C41">
        <v>5</v>
      </c>
      <c r="D41">
        <f t="shared" si="6"/>
        <v>1</v>
      </c>
      <c r="E41">
        <f t="shared" si="7"/>
        <v>1</v>
      </c>
      <c r="F41">
        <f t="shared" si="8"/>
        <v>1</v>
      </c>
      <c r="G41">
        <f t="shared" si="9"/>
        <v>1</v>
      </c>
      <c r="H41">
        <f t="shared" si="10"/>
        <v>0</v>
      </c>
      <c r="I41">
        <f t="shared" si="11"/>
        <v>0</v>
      </c>
      <c r="J41">
        <v>21</v>
      </c>
    </row>
    <row r="42" spans="1:10" ht="15" thickBot="1" x14ac:dyDescent="0.25">
      <c r="A42" s="30" t="s">
        <v>30</v>
      </c>
      <c r="B42" s="18" t="s">
        <v>9</v>
      </c>
      <c r="C42">
        <v>4</v>
      </c>
      <c r="D42">
        <f t="shared" si="6"/>
        <v>1</v>
      </c>
      <c r="E42">
        <f t="shared" si="7"/>
        <v>1</v>
      </c>
      <c r="F42">
        <f t="shared" si="8"/>
        <v>1</v>
      </c>
      <c r="G42">
        <f t="shared" si="9"/>
        <v>0</v>
      </c>
      <c r="H42">
        <f t="shared" si="10"/>
        <v>0</v>
      </c>
      <c r="I42">
        <f t="shared" si="11"/>
        <v>0</v>
      </c>
      <c r="J42">
        <v>22</v>
      </c>
    </row>
    <row r="43" spans="1:10" ht="15" thickBot="1" x14ac:dyDescent="0.25">
      <c r="A43" s="1" t="s">
        <v>30</v>
      </c>
      <c r="B43" s="18" t="s">
        <v>12</v>
      </c>
      <c r="C43">
        <v>41</v>
      </c>
      <c r="D43">
        <f t="shared" si="6"/>
        <v>1</v>
      </c>
      <c r="E43">
        <f t="shared" si="7"/>
        <v>1</v>
      </c>
      <c r="F43">
        <f t="shared" si="8"/>
        <v>1</v>
      </c>
      <c r="G43">
        <f t="shared" si="9"/>
        <v>1</v>
      </c>
      <c r="H43">
        <f t="shared" si="10"/>
        <v>1</v>
      </c>
      <c r="I43">
        <f t="shared" si="11"/>
        <v>1</v>
      </c>
      <c r="J43">
        <v>22</v>
      </c>
    </row>
    <row r="44" spans="1:10" ht="15" thickBot="1" x14ac:dyDescent="0.25">
      <c r="A44" s="10" t="s">
        <v>29</v>
      </c>
      <c r="B44" s="32" t="s">
        <v>20</v>
      </c>
      <c r="C44">
        <v>15</v>
      </c>
      <c r="D44">
        <f t="shared" si="6"/>
        <v>1</v>
      </c>
      <c r="E44">
        <f t="shared" si="7"/>
        <v>1</v>
      </c>
      <c r="F44">
        <f t="shared" si="8"/>
        <v>1</v>
      </c>
      <c r="G44">
        <f t="shared" si="9"/>
        <v>1</v>
      </c>
      <c r="H44">
        <f t="shared" si="10"/>
        <v>1</v>
      </c>
      <c r="I44">
        <f t="shared" si="11"/>
        <v>1</v>
      </c>
      <c r="J44">
        <v>23</v>
      </c>
    </row>
    <row r="45" spans="1:10" ht="15" thickBot="1" x14ac:dyDescent="0.25">
      <c r="A45" s="10" t="s">
        <v>29</v>
      </c>
      <c r="B45" s="32" t="s">
        <v>20</v>
      </c>
      <c r="C45">
        <v>15</v>
      </c>
      <c r="D45">
        <f t="shared" si="6"/>
        <v>1</v>
      </c>
      <c r="E45">
        <f t="shared" si="7"/>
        <v>1</v>
      </c>
      <c r="F45">
        <f t="shared" si="8"/>
        <v>1</v>
      </c>
      <c r="G45">
        <f t="shared" si="9"/>
        <v>1</v>
      </c>
      <c r="H45">
        <f t="shared" si="10"/>
        <v>1</v>
      </c>
      <c r="I45">
        <f t="shared" si="11"/>
        <v>1</v>
      </c>
      <c r="J45">
        <v>23</v>
      </c>
    </row>
    <row r="46" spans="1:10" ht="15" thickBot="1" x14ac:dyDescent="0.25">
      <c r="A46" s="8" t="s">
        <v>32</v>
      </c>
      <c r="B46" s="32" t="s">
        <v>20</v>
      </c>
      <c r="C46">
        <v>5.5</v>
      </c>
      <c r="D46">
        <f t="shared" si="6"/>
        <v>1</v>
      </c>
      <c r="E46">
        <f t="shared" si="7"/>
        <v>1</v>
      </c>
      <c r="F46">
        <f t="shared" si="8"/>
        <v>1</v>
      </c>
      <c r="G46">
        <f t="shared" si="9"/>
        <v>1</v>
      </c>
      <c r="H46">
        <f t="shared" si="10"/>
        <v>1</v>
      </c>
      <c r="I46">
        <f t="shared" si="11"/>
        <v>0</v>
      </c>
      <c r="J46">
        <v>24</v>
      </c>
    </row>
    <row r="47" spans="1:10" ht="15" thickBot="1" x14ac:dyDescent="0.25">
      <c r="A47" s="8" t="s">
        <v>32</v>
      </c>
      <c r="B47" s="32" t="s">
        <v>20</v>
      </c>
      <c r="C47">
        <v>5.5</v>
      </c>
      <c r="D47">
        <f t="shared" si="6"/>
        <v>1</v>
      </c>
      <c r="E47">
        <f t="shared" si="7"/>
        <v>1</v>
      </c>
      <c r="F47">
        <f t="shared" si="8"/>
        <v>1</v>
      </c>
      <c r="G47">
        <f t="shared" si="9"/>
        <v>1</v>
      </c>
      <c r="H47">
        <f t="shared" si="10"/>
        <v>1</v>
      </c>
      <c r="I47">
        <f t="shared" si="11"/>
        <v>0</v>
      </c>
      <c r="J47">
        <v>24</v>
      </c>
    </row>
    <row r="48" spans="1:10" ht="15" thickBot="1" x14ac:dyDescent="0.25">
      <c r="A48" s="8" t="s">
        <v>33</v>
      </c>
      <c r="B48" s="32" t="s">
        <v>20</v>
      </c>
      <c r="C48">
        <v>0.5</v>
      </c>
      <c r="D48">
        <f t="shared" si="6"/>
        <v>0</v>
      </c>
      <c r="E48">
        <f t="shared" si="7"/>
        <v>0</v>
      </c>
      <c r="F48">
        <f t="shared" si="8"/>
        <v>0</v>
      </c>
      <c r="G48">
        <f t="shared" si="9"/>
        <v>0</v>
      </c>
      <c r="H48">
        <f t="shared" si="10"/>
        <v>0</v>
      </c>
      <c r="I48">
        <f t="shared" si="11"/>
        <v>0</v>
      </c>
      <c r="J48">
        <v>25</v>
      </c>
    </row>
    <row r="49" spans="1:10" ht="15" thickBot="1" x14ac:dyDescent="0.25">
      <c r="A49" s="8" t="s">
        <v>33</v>
      </c>
      <c r="B49" s="32" t="s">
        <v>20</v>
      </c>
      <c r="C49">
        <v>0.5</v>
      </c>
      <c r="D49">
        <f t="shared" si="6"/>
        <v>0</v>
      </c>
      <c r="E49">
        <f t="shared" si="7"/>
        <v>0</v>
      </c>
      <c r="F49">
        <f t="shared" si="8"/>
        <v>0</v>
      </c>
      <c r="G49">
        <f t="shared" si="9"/>
        <v>0</v>
      </c>
      <c r="H49">
        <f t="shared" si="10"/>
        <v>0</v>
      </c>
      <c r="I49">
        <f t="shared" si="11"/>
        <v>0</v>
      </c>
      <c r="J49">
        <v>25</v>
      </c>
    </row>
    <row r="50" spans="1:10" ht="15" thickBot="1" x14ac:dyDescent="0.25">
      <c r="A50" s="1" t="s">
        <v>28</v>
      </c>
      <c r="B50" s="18" t="s">
        <v>14</v>
      </c>
      <c r="C50">
        <v>42</v>
      </c>
      <c r="D50">
        <f t="shared" si="6"/>
        <v>1</v>
      </c>
      <c r="E50">
        <f t="shared" si="7"/>
        <v>1</v>
      </c>
      <c r="F50">
        <f t="shared" si="8"/>
        <v>1</v>
      </c>
      <c r="G50">
        <f t="shared" si="9"/>
        <v>1</v>
      </c>
      <c r="H50">
        <f t="shared" si="10"/>
        <v>1</v>
      </c>
      <c r="I50">
        <f t="shared" si="11"/>
        <v>1</v>
      </c>
      <c r="J50">
        <v>26</v>
      </c>
    </row>
    <row r="51" spans="1:10" ht="15" thickBot="1" x14ac:dyDescent="0.25">
      <c r="A51" s="9" t="s">
        <v>25</v>
      </c>
      <c r="B51" s="18" t="s">
        <v>3</v>
      </c>
      <c r="C51">
        <v>2</v>
      </c>
      <c r="D51">
        <f t="shared" si="6"/>
        <v>1</v>
      </c>
      <c r="E51">
        <f t="shared" si="7"/>
        <v>0</v>
      </c>
      <c r="F51">
        <f t="shared" si="8"/>
        <v>0</v>
      </c>
      <c r="G51">
        <f t="shared" si="9"/>
        <v>0</v>
      </c>
      <c r="H51">
        <f t="shared" si="10"/>
        <v>0</v>
      </c>
      <c r="I51">
        <f t="shared" si="11"/>
        <v>0</v>
      </c>
      <c r="J51">
        <v>27</v>
      </c>
    </row>
    <row r="52" spans="1:10" ht="15" thickBot="1" x14ac:dyDescent="0.25">
      <c r="A52" s="17" t="s">
        <v>25</v>
      </c>
      <c r="B52" s="18" t="s">
        <v>15</v>
      </c>
      <c r="C52">
        <v>41</v>
      </c>
      <c r="D52">
        <f t="shared" si="6"/>
        <v>1</v>
      </c>
      <c r="E52">
        <f t="shared" si="7"/>
        <v>1</v>
      </c>
      <c r="F52">
        <f t="shared" si="8"/>
        <v>1</v>
      </c>
      <c r="G52">
        <f t="shared" si="9"/>
        <v>1</v>
      </c>
      <c r="H52">
        <f t="shared" si="10"/>
        <v>1</v>
      </c>
      <c r="I52">
        <f t="shared" si="11"/>
        <v>1</v>
      </c>
      <c r="J52">
        <v>27</v>
      </c>
    </row>
    <row r="53" spans="1:10" ht="15" thickBot="1" x14ac:dyDescent="0.25">
      <c r="A53" s="5" t="s">
        <v>25</v>
      </c>
      <c r="B53" s="18" t="s">
        <v>12</v>
      </c>
      <c r="C53">
        <v>1</v>
      </c>
      <c r="D53">
        <f t="shared" si="6"/>
        <v>0</v>
      </c>
      <c r="E53">
        <f t="shared" si="7"/>
        <v>0</v>
      </c>
      <c r="F53">
        <f t="shared" si="8"/>
        <v>0</v>
      </c>
      <c r="G53">
        <f t="shared" si="9"/>
        <v>0</v>
      </c>
      <c r="H53">
        <f t="shared" si="10"/>
        <v>0</v>
      </c>
      <c r="I53">
        <f t="shared" si="11"/>
        <v>0</v>
      </c>
      <c r="J53">
        <v>28</v>
      </c>
    </row>
    <row r="54" spans="1:10" ht="15" thickBot="1" x14ac:dyDescent="0.25">
      <c r="A54" s="29" t="s">
        <v>25</v>
      </c>
      <c r="B54" s="18" t="s">
        <v>9</v>
      </c>
      <c r="C54">
        <v>38</v>
      </c>
      <c r="D54">
        <f t="shared" si="6"/>
        <v>1</v>
      </c>
      <c r="E54">
        <f t="shared" si="7"/>
        <v>1</v>
      </c>
      <c r="F54">
        <f t="shared" si="8"/>
        <v>1</v>
      </c>
      <c r="G54">
        <f t="shared" si="9"/>
        <v>1</v>
      </c>
      <c r="H54">
        <f t="shared" si="10"/>
        <v>1</v>
      </c>
      <c r="I54">
        <f t="shared" si="11"/>
        <v>1</v>
      </c>
      <c r="J54">
        <v>28</v>
      </c>
    </row>
    <row r="55" spans="1:10" x14ac:dyDescent="0.2">
      <c r="A55" s="9" t="s">
        <v>25</v>
      </c>
      <c r="B55" s="18" t="s">
        <v>17</v>
      </c>
      <c r="C55">
        <v>16</v>
      </c>
      <c r="D55">
        <f t="shared" si="6"/>
        <v>1</v>
      </c>
      <c r="E55">
        <f t="shared" si="7"/>
        <v>1</v>
      </c>
      <c r="F55">
        <f t="shared" si="8"/>
        <v>1</v>
      </c>
      <c r="G55">
        <f t="shared" si="9"/>
        <v>1</v>
      </c>
      <c r="H55">
        <f t="shared" si="10"/>
        <v>1</v>
      </c>
      <c r="I55">
        <f t="shared" si="11"/>
        <v>1</v>
      </c>
      <c r="J55">
        <v>29</v>
      </c>
    </row>
    <row r="56" spans="1:10" x14ac:dyDescent="0.2">
      <c r="D56">
        <f t="shared" ref="D56:I56" si="12">SUM(D2:D55)</f>
        <v>41</v>
      </c>
      <c r="E56">
        <f t="shared" si="12"/>
        <v>34</v>
      </c>
      <c r="F56">
        <f t="shared" si="12"/>
        <v>33</v>
      </c>
      <c r="G56">
        <f t="shared" si="12"/>
        <v>28</v>
      </c>
      <c r="H56">
        <f t="shared" si="12"/>
        <v>27</v>
      </c>
      <c r="I56">
        <f t="shared" si="12"/>
        <v>22</v>
      </c>
    </row>
    <row r="60" spans="1:10" x14ac:dyDescent="0.2">
      <c r="A60" s="1" t="s">
        <v>23</v>
      </c>
      <c r="B60" s="1" t="s">
        <v>21</v>
      </c>
    </row>
    <row r="61" spans="1:10" x14ac:dyDescent="0.2">
      <c r="A61" s="1" t="s">
        <v>22</v>
      </c>
    </row>
    <row r="62" spans="1:10" x14ac:dyDescent="0.2">
      <c r="A62" s="9" t="s">
        <v>25</v>
      </c>
    </row>
    <row r="63" spans="1:10" x14ac:dyDescent="0.2">
      <c r="A63" s="9" t="s">
        <v>26</v>
      </c>
    </row>
    <row r="64" spans="1:10" x14ac:dyDescent="0.2">
      <c r="A64" s="1" t="s">
        <v>24</v>
      </c>
    </row>
    <row r="65" spans="1:2" x14ac:dyDescent="0.2">
      <c r="A65" s="9" t="s">
        <v>31</v>
      </c>
      <c r="B65" s="9" t="s">
        <v>34</v>
      </c>
    </row>
    <row r="66" spans="1:2" x14ac:dyDescent="0.2">
      <c r="A66" s="30" t="s">
        <v>30</v>
      </c>
    </row>
    <row r="67" spans="1:2" ht="15" thickBot="1" x14ac:dyDescent="0.25">
      <c r="A67" s="1" t="s">
        <v>29</v>
      </c>
      <c r="B67" s="38" t="s">
        <v>32</v>
      </c>
    </row>
    <row r="68" spans="1:2" x14ac:dyDescent="0.2">
      <c r="A68" s="8" t="s">
        <v>33</v>
      </c>
    </row>
    <row r="69" spans="1:2" x14ac:dyDescent="0.2">
      <c r="A69" s="1" t="s">
        <v>28</v>
      </c>
    </row>
  </sheetData>
  <phoneticPr fontId="5" type="noConversion"/>
  <conditionalFormatting sqref="I2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1:I2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0:I3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10 I24 I26:I28 I33 I37:I38 I40:I44 I46 I48 I50:I55 I13:I2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:I3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9E72-2AEC-4A45-8167-6A01C8DF73AC}">
  <dimension ref="A1:C20"/>
  <sheetViews>
    <sheetView workbookViewId="0">
      <selection activeCell="C2" sqref="C2"/>
    </sheetView>
  </sheetViews>
  <sheetFormatPr defaultRowHeight="14.25" x14ac:dyDescent="0.2"/>
  <sheetData>
    <row r="1" spans="1:3" x14ac:dyDescent="0.2">
      <c r="A1">
        <v>1</v>
      </c>
      <c r="B1">
        <v>88</v>
      </c>
      <c r="C1" s="50" t="s">
        <v>125</v>
      </c>
    </row>
    <row r="2" spans="1:3" x14ac:dyDescent="0.2">
      <c r="A2">
        <v>2</v>
      </c>
      <c r="B2">
        <v>89</v>
      </c>
      <c r="C2" s="50" t="s">
        <v>127</v>
      </c>
    </row>
    <row r="3" spans="1:3" x14ac:dyDescent="0.2">
      <c r="A3">
        <v>3</v>
      </c>
      <c r="B3">
        <v>90</v>
      </c>
      <c r="C3" s="50" t="s">
        <v>125</v>
      </c>
    </row>
    <row r="4" spans="1:3" x14ac:dyDescent="0.2">
      <c r="A4">
        <v>4</v>
      </c>
      <c r="B4">
        <v>91</v>
      </c>
      <c r="C4" s="50" t="s">
        <v>129</v>
      </c>
    </row>
    <row r="5" spans="1:3" x14ac:dyDescent="0.2">
      <c r="A5">
        <v>5</v>
      </c>
      <c r="B5">
        <v>92</v>
      </c>
      <c r="C5" s="50" t="s">
        <v>130</v>
      </c>
    </row>
    <row r="6" spans="1:3" x14ac:dyDescent="0.2">
      <c r="A6">
        <v>6</v>
      </c>
      <c r="B6">
        <v>93</v>
      </c>
      <c r="C6" s="50" t="s">
        <v>132</v>
      </c>
    </row>
    <row r="7" spans="1:3" x14ac:dyDescent="0.2">
      <c r="A7">
        <v>7</v>
      </c>
      <c r="B7">
        <v>94</v>
      </c>
      <c r="C7" s="50" t="s">
        <v>133</v>
      </c>
    </row>
    <row r="8" spans="1:3" x14ac:dyDescent="0.2">
      <c r="A8">
        <v>8</v>
      </c>
      <c r="B8">
        <v>95</v>
      </c>
      <c r="C8" s="50" t="s">
        <v>138</v>
      </c>
    </row>
    <row r="9" spans="1:3" x14ac:dyDescent="0.2">
      <c r="A9">
        <v>9</v>
      </c>
      <c r="B9">
        <v>96</v>
      </c>
      <c r="C9" s="50" t="s">
        <v>134</v>
      </c>
    </row>
    <row r="10" spans="1:3" x14ac:dyDescent="0.2">
      <c r="A10">
        <v>10</v>
      </c>
      <c r="B10">
        <v>97</v>
      </c>
      <c r="C10" s="50" t="s">
        <v>26</v>
      </c>
    </row>
    <row r="11" spans="1:3" x14ac:dyDescent="0.2">
      <c r="A11">
        <v>11</v>
      </c>
      <c r="B11">
        <v>98</v>
      </c>
      <c r="C11" s="50" t="s">
        <v>135</v>
      </c>
    </row>
    <row r="12" spans="1:3" x14ac:dyDescent="0.2">
      <c r="A12">
        <v>12</v>
      </c>
      <c r="B12">
        <v>99</v>
      </c>
      <c r="C12" s="50" t="s">
        <v>125</v>
      </c>
    </row>
    <row r="13" spans="1:3" x14ac:dyDescent="0.2">
      <c r="A13">
        <v>13</v>
      </c>
      <c r="B13">
        <v>100</v>
      </c>
      <c r="C13" s="50" t="s">
        <v>28</v>
      </c>
    </row>
    <row r="14" spans="1:3" x14ac:dyDescent="0.2">
      <c r="A14">
        <v>14</v>
      </c>
      <c r="B14">
        <v>101</v>
      </c>
      <c r="C14" s="50" t="s">
        <v>136</v>
      </c>
    </row>
    <row r="15" spans="1:3" x14ac:dyDescent="0.2">
      <c r="A15">
        <v>15</v>
      </c>
      <c r="B15">
        <v>102</v>
      </c>
      <c r="C15" s="50" t="s">
        <v>23</v>
      </c>
    </row>
    <row r="16" spans="1:3" x14ac:dyDescent="0.2">
      <c r="A16">
        <v>16</v>
      </c>
      <c r="B16">
        <v>103</v>
      </c>
      <c r="C16" s="50" t="s">
        <v>137</v>
      </c>
    </row>
    <row r="17" spans="1:3" x14ac:dyDescent="0.2">
      <c r="A17">
        <v>17</v>
      </c>
      <c r="B17">
        <v>104</v>
      </c>
      <c r="C17" s="49" t="s">
        <v>139</v>
      </c>
    </row>
    <row r="18" spans="1:3" x14ac:dyDescent="0.2">
      <c r="A18">
        <v>18</v>
      </c>
      <c r="B18">
        <v>105</v>
      </c>
      <c r="C18" s="49" t="s">
        <v>140</v>
      </c>
    </row>
    <row r="19" spans="1:3" x14ac:dyDescent="0.2">
      <c r="A19">
        <v>19</v>
      </c>
      <c r="B19">
        <v>106</v>
      </c>
      <c r="C19" s="50" t="s">
        <v>141</v>
      </c>
    </row>
    <row r="20" spans="1:3" x14ac:dyDescent="0.2">
      <c r="C20" s="50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42CC-DD8D-46CE-8BBE-FEE0385C11A6}">
  <dimension ref="A1:T20"/>
  <sheetViews>
    <sheetView workbookViewId="0">
      <selection activeCell="K8" sqref="K8"/>
    </sheetView>
  </sheetViews>
  <sheetFormatPr defaultRowHeight="14.25" x14ac:dyDescent="0.2"/>
  <cols>
    <col min="1" max="1" width="7.75" bestFit="1" customWidth="1"/>
    <col min="2" max="2" width="5.25" style="39" bestFit="1" customWidth="1"/>
    <col min="3" max="3" width="5.375" style="39" bestFit="1" customWidth="1"/>
    <col min="4" max="4" width="5.25" style="39" bestFit="1" customWidth="1"/>
    <col min="5" max="10" width="5.375" style="39" bestFit="1" customWidth="1"/>
    <col min="11" max="11" width="5.25" style="39" bestFit="1" customWidth="1"/>
    <col min="12" max="12" width="5.375" style="39" bestFit="1" customWidth="1"/>
    <col min="13" max="14" width="5.25" style="39" bestFit="1" customWidth="1"/>
    <col min="15" max="15" width="5.375" style="39" bestFit="1" customWidth="1"/>
    <col min="16" max="16" width="5.25" style="39" bestFit="1" customWidth="1"/>
    <col min="17" max="20" width="5.375" style="39" bestFit="1" customWidth="1"/>
  </cols>
  <sheetData>
    <row r="1" spans="1:20" x14ac:dyDescent="0.2">
      <c r="A1" s="39" t="s">
        <v>107</v>
      </c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>
        <v>13</v>
      </c>
      <c r="O1" s="40">
        <v>14</v>
      </c>
      <c r="P1" s="40">
        <v>15</v>
      </c>
      <c r="Q1" s="40">
        <v>16</v>
      </c>
      <c r="R1" s="40">
        <v>17</v>
      </c>
      <c r="S1" s="40">
        <v>18</v>
      </c>
      <c r="T1" s="40">
        <v>19</v>
      </c>
    </row>
    <row r="2" spans="1:20" x14ac:dyDescent="0.2">
      <c r="A2" s="40">
        <v>1</v>
      </c>
      <c r="B2" s="39" t="s">
        <v>106</v>
      </c>
      <c r="C2" s="39">
        <v>0</v>
      </c>
      <c r="D2" s="39" t="s">
        <v>106</v>
      </c>
      <c r="E2" s="39">
        <v>0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39" t="s">
        <v>106</v>
      </c>
      <c r="L2" s="39">
        <v>0</v>
      </c>
      <c r="M2" s="39" t="s">
        <v>106</v>
      </c>
      <c r="N2" s="39" t="s">
        <v>106</v>
      </c>
      <c r="O2" s="39">
        <v>0</v>
      </c>
      <c r="P2" s="39" t="s">
        <v>106</v>
      </c>
      <c r="Q2" s="39">
        <v>0</v>
      </c>
      <c r="R2" s="39">
        <v>0</v>
      </c>
      <c r="S2" s="39">
        <v>0</v>
      </c>
      <c r="T2" s="39">
        <v>0</v>
      </c>
    </row>
    <row r="3" spans="1:20" x14ac:dyDescent="0.2">
      <c r="A3" s="40">
        <v>2</v>
      </c>
      <c r="B3" s="39" t="s">
        <v>106</v>
      </c>
      <c r="C3" s="39">
        <v>1</v>
      </c>
      <c r="D3" s="39" t="s">
        <v>106</v>
      </c>
      <c r="E3" s="39">
        <v>1.6969908612583899E-2</v>
      </c>
      <c r="F3" s="39">
        <v>1.4064864129515801E-2</v>
      </c>
      <c r="G3" s="39">
        <v>1.91640449509809E-2</v>
      </c>
      <c r="H3" s="39">
        <v>1.04525444096708E-2</v>
      </c>
      <c r="I3" s="39">
        <v>1.55468703519815E-2</v>
      </c>
      <c r="J3" s="39">
        <v>1.04525444096708E-2</v>
      </c>
      <c r="K3" s="39" t="s">
        <v>106</v>
      </c>
      <c r="L3" s="39">
        <v>1.04525444096708E-2</v>
      </c>
      <c r="M3" s="39" t="s">
        <v>106</v>
      </c>
      <c r="N3" s="39" t="s">
        <v>106</v>
      </c>
      <c r="O3" s="39">
        <v>1.04525444096708E-2</v>
      </c>
      <c r="P3" s="39" t="s">
        <v>106</v>
      </c>
      <c r="Q3" s="39">
        <v>3.5461155451593999E-2</v>
      </c>
      <c r="R3" s="39">
        <v>2.0201658674260999E-2</v>
      </c>
      <c r="S3" s="39">
        <v>1.2849644086222099E-2</v>
      </c>
      <c r="T3" s="39">
        <v>2.42480325541366E-2</v>
      </c>
    </row>
    <row r="4" spans="1:20" x14ac:dyDescent="0.2">
      <c r="A4" s="40">
        <v>3</v>
      </c>
      <c r="B4" s="39" t="s">
        <v>106</v>
      </c>
      <c r="C4" s="39">
        <v>0</v>
      </c>
      <c r="D4" s="39" t="s">
        <v>106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 t="s">
        <v>106</v>
      </c>
      <c r="L4" s="39">
        <v>0</v>
      </c>
      <c r="M4" s="39" t="s">
        <v>106</v>
      </c>
      <c r="N4" s="39" t="s">
        <v>106</v>
      </c>
      <c r="O4" s="39">
        <v>0</v>
      </c>
      <c r="P4" s="39" t="s">
        <v>106</v>
      </c>
      <c r="Q4" s="39">
        <v>0</v>
      </c>
      <c r="R4" s="39">
        <v>0</v>
      </c>
      <c r="S4" s="39">
        <v>0</v>
      </c>
      <c r="T4" s="39">
        <v>0</v>
      </c>
    </row>
    <row r="5" spans="1:20" x14ac:dyDescent="0.2">
      <c r="A5" s="40">
        <v>4</v>
      </c>
      <c r="B5" s="39" t="s">
        <v>106</v>
      </c>
      <c r="C5" s="39">
        <v>3.23562325150639E-2</v>
      </c>
      <c r="D5" s="39" t="s">
        <v>106</v>
      </c>
      <c r="E5" s="39">
        <v>1</v>
      </c>
      <c r="F5" s="39">
        <v>3.6596726655670597E-2</v>
      </c>
      <c r="G5" s="39">
        <v>5.0185694372521197E-2</v>
      </c>
      <c r="H5" s="39">
        <v>2.7168268297594701E-2</v>
      </c>
      <c r="I5" s="39">
        <v>4.0476184168058503E-2</v>
      </c>
      <c r="J5" s="39">
        <v>2.7168268297594701E-2</v>
      </c>
      <c r="K5" s="39" t="s">
        <v>106</v>
      </c>
      <c r="L5" s="39">
        <v>2.7168268297594701E-2</v>
      </c>
      <c r="M5" s="39" t="s">
        <v>106</v>
      </c>
      <c r="N5" s="39" t="s">
        <v>106</v>
      </c>
      <c r="O5" s="39">
        <v>2.7168268297594701E-2</v>
      </c>
      <c r="P5" s="39" t="s">
        <v>106</v>
      </c>
      <c r="Q5" s="39">
        <v>1.5560269993136801E-4</v>
      </c>
      <c r="R5" s="39">
        <v>2.9599885078494599E-2</v>
      </c>
      <c r="S5" s="39">
        <v>3.3453971683866303E-2</v>
      </c>
      <c r="T5" s="39">
        <v>1.27041719579556E-2</v>
      </c>
    </row>
    <row r="6" spans="1:20" x14ac:dyDescent="0.2">
      <c r="A6" s="40">
        <v>5</v>
      </c>
      <c r="B6" s="39" t="s">
        <v>106</v>
      </c>
      <c r="C6" s="39">
        <v>1.89044846945964E-2</v>
      </c>
      <c r="D6" s="39" t="s">
        <v>106</v>
      </c>
      <c r="E6" s="39">
        <v>2.57984195196614E-2</v>
      </c>
      <c r="F6" s="39">
        <v>1</v>
      </c>
      <c r="G6" s="39">
        <v>2.9182261532759001E-2</v>
      </c>
      <c r="H6" s="39">
        <v>1.5879042707198799E-2</v>
      </c>
      <c r="I6" s="39">
        <v>2.3630523995757401E-2</v>
      </c>
      <c r="J6" s="39">
        <v>1.5879042707198799E-2</v>
      </c>
      <c r="K6" s="39" t="s">
        <v>106</v>
      </c>
      <c r="L6" s="39">
        <v>1.5879042707198799E-2</v>
      </c>
      <c r="M6" s="39" t="s">
        <v>106</v>
      </c>
      <c r="N6" s="39" t="s">
        <v>106</v>
      </c>
      <c r="O6" s="39">
        <v>1.5879042707198799E-2</v>
      </c>
      <c r="P6" s="39" t="s">
        <v>106</v>
      </c>
      <c r="Q6" s="39">
        <v>1.9363747442377201E-2</v>
      </c>
      <c r="R6" s="39">
        <v>1.9033011759765801E-2</v>
      </c>
      <c r="S6" s="39">
        <v>1.9530864800561799E-2</v>
      </c>
      <c r="T6" s="39">
        <v>3.6923959918673303E-2</v>
      </c>
    </row>
    <row r="7" spans="1:20" x14ac:dyDescent="0.2">
      <c r="A7" s="40">
        <v>6</v>
      </c>
      <c r="B7" s="39" t="s">
        <v>106</v>
      </c>
      <c r="C7" s="39">
        <v>8.6156033918744795E-2</v>
      </c>
      <c r="D7" s="39" t="s">
        <v>106</v>
      </c>
      <c r="E7" s="39">
        <v>0.11833140225903201</v>
      </c>
      <c r="F7" s="39">
        <v>9.76086172370354E-2</v>
      </c>
      <c r="G7" s="39">
        <v>1</v>
      </c>
      <c r="H7" s="39">
        <v>1</v>
      </c>
      <c r="I7" s="39">
        <v>0.108143982068361</v>
      </c>
      <c r="J7" s="39">
        <v>7.2228257192148496E-2</v>
      </c>
      <c r="K7" s="39" t="s">
        <v>106</v>
      </c>
      <c r="L7" s="39">
        <v>1</v>
      </c>
      <c r="M7" s="39" t="s">
        <v>106</v>
      </c>
      <c r="N7" s="39" t="s">
        <v>106</v>
      </c>
      <c r="O7" s="39">
        <v>7.2228257192148496E-2</v>
      </c>
      <c r="P7" s="39" t="s">
        <v>106</v>
      </c>
      <c r="Q7" s="39">
        <v>3.8055784421302898E-2</v>
      </c>
      <c r="R7" s="39">
        <v>1.3735731364233899E-2</v>
      </c>
      <c r="S7" s="39">
        <v>0.101109805942849</v>
      </c>
      <c r="T7" s="39">
        <v>3.5622798652746403E-2</v>
      </c>
    </row>
    <row r="8" spans="1:20" x14ac:dyDescent="0.2">
      <c r="A8" s="40">
        <v>7</v>
      </c>
      <c r="B8" s="39" t="s">
        <v>106</v>
      </c>
      <c r="C8" s="39">
        <v>6.1431922374120497E-3</v>
      </c>
      <c r="D8" s="39" t="s">
        <v>106</v>
      </c>
      <c r="E8" s="39">
        <v>8.3744365745978908E-3</v>
      </c>
      <c r="F8" s="39">
        <v>6.9433186781576303E-3</v>
      </c>
      <c r="G8" s="39">
        <v>0.13072948993056899</v>
      </c>
      <c r="H8" s="39">
        <v>1</v>
      </c>
      <c r="I8" s="39">
        <v>7.6735895763080098E-3</v>
      </c>
      <c r="J8" s="39">
        <v>5.16173720649259E-3</v>
      </c>
      <c r="K8" s="39" t="s">
        <v>106</v>
      </c>
      <c r="L8" s="39">
        <v>1</v>
      </c>
      <c r="M8" s="39" t="s">
        <v>106</v>
      </c>
      <c r="N8" s="39" t="s">
        <v>106</v>
      </c>
      <c r="O8" s="39">
        <v>5.16173720649259E-3</v>
      </c>
      <c r="P8" s="39" t="s">
        <v>106</v>
      </c>
      <c r="Q8" s="39">
        <v>1.7450787292299499E-2</v>
      </c>
      <c r="R8" s="39">
        <v>1.24884104136364E-2</v>
      </c>
      <c r="S8" s="39">
        <v>6.3422986547729803E-3</v>
      </c>
      <c r="T8" s="39">
        <v>1.1947307124555001E-2</v>
      </c>
    </row>
    <row r="9" spans="1:20" x14ac:dyDescent="0.2">
      <c r="A9" s="40">
        <v>8</v>
      </c>
      <c r="B9" s="39" t="s">
        <v>106</v>
      </c>
      <c r="C9" s="39">
        <v>2.5539413023544101E-2</v>
      </c>
      <c r="D9" s="39" t="s">
        <v>106</v>
      </c>
      <c r="E9" s="39">
        <v>3.4872979448663903E-2</v>
      </c>
      <c r="F9" s="39">
        <v>2.8880983877237001E-2</v>
      </c>
      <c r="G9" s="39">
        <v>3.9515890566412498E-2</v>
      </c>
      <c r="H9" s="39">
        <v>2.14483761474808E-2</v>
      </c>
      <c r="I9" s="39">
        <v>1</v>
      </c>
      <c r="J9" s="39">
        <v>2.14483761474808E-2</v>
      </c>
      <c r="K9" s="39" t="s">
        <v>106</v>
      </c>
      <c r="L9" s="39">
        <v>2.14483761474808E-2</v>
      </c>
      <c r="M9" s="39" t="s">
        <v>106</v>
      </c>
      <c r="N9" s="39" t="s">
        <v>106</v>
      </c>
      <c r="O9" s="39">
        <v>2.14483761474808E-2</v>
      </c>
      <c r="P9" s="39" t="s">
        <v>106</v>
      </c>
      <c r="Q9" s="39">
        <v>4.6372365833217697E-3</v>
      </c>
      <c r="R9" s="39">
        <v>2.2979291917243301E-2</v>
      </c>
      <c r="S9" s="39">
        <v>2.6395517913040002E-2</v>
      </c>
      <c r="T9" s="39">
        <v>3.6817836108495199E-3</v>
      </c>
    </row>
    <row r="10" spans="1:20" x14ac:dyDescent="0.2">
      <c r="A10" s="40">
        <v>9</v>
      </c>
      <c r="B10" s="39" t="s">
        <v>106</v>
      </c>
      <c r="C10" s="39">
        <v>6.1431922374120497E-3</v>
      </c>
      <c r="D10" s="39" t="s">
        <v>106</v>
      </c>
      <c r="E10" s="39">
        <v>8.3744365745978908E-3</v>
      </c>
      <c r="F10" s="39">
        <v>6.9433186781576303E-3</v>
      </c>
      <c r="G10" s="39">
        <v>9.4423632213035298E-3</v>
      </c>
      <c r="H10" s="39">
        <v>5.16173720649259E-3</v>
      </c>
      <c r="I10" s="39">
        <v>7.6735895763080098E-3</v>
      </c>
      <c r="J10" s="39">
        <v>1</v>
      </c>
      <c r="K10" s="39" t="s">
        <v>106</v>
      </c>
      <c r="L10" s="39">
        <v>5.16173720649259E-3</v>
      </c>
      <c r="M10" s="39" t="s">
        <v>106</v>
      </c>
      <c r="N10" s="39" t="s">
        <v>106</v>
      </c>
      <c r="O10" s="39">
        <v>1</v>
      </c>
      <c r="P10" s="39" t="s">
        <v>106</v>
      </c>
      <c r="Q10" s="39">
        <v>3.5291860700616101E-2</v>
      </c>
      <c r="R10" s="39">
        <v>1.24884104136364E-2</v>
      </c>
      <c r="S10" s="39">
        <v>6.3422986547729803E-3</v>
      </c>
      <c r="T10" s="39">
        <v>1.1947307124555001E-2</v>
      </c>
    </row>
    <row r="11" spans="1:20" x14ac:dyDescent="0.2">
      <c r="A11" s="40">
        <v>10</v>
      </c>
      <c r="B11" s="39" t="s">
        <v>106</v>
      </c>
      <c r="C11" s="39">
        <v>0</v>
      </c>
      <c r="D11" s="39" t="s">
        <v>106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 t="s">
        <v>106</v>
      </c>
      <c r="L11" s="39">
        <v>0</v>
      </c>
      <c r="M11" s="39" t="s">
        <v>106</v>
      </c>
      <c r="N11" s="39" t="s">
        <v>106</v>
      </c>
      <c r="O11" s="39">
        <v>0</v>
      </c>
      <c r="P11" s="39" t="s">
        <v>106</v>
      </c>
      <c r="Q11" s="39">
        <v>0</v>
      </c>
      <c r="R11" s="39">
        <v>0</v>
      </c>
      <c r="S11" s="39">
        <v>0</v>
      </c>
      <c r="T11" s="39">
        <v>0</v>
      </c>
    </row>
    <row r="12" spans="1:20" x14ac:dyDescent="0.2">
      <c r="A12" s="40">
        <v>11</v>
      </c>
      <c r="B12" s="39" t="s">
        <v>106</v>
      </c>
      <c r="C12" s="39">
        <v>6.1431922374120497E-3</v>
      </c>
      <c r="D12" s="39" t="s">
        <v>106</v>
      </c>
      <c r="E12" s="39">
        <v>8.3744365745978908E-3</v>
      </c>
      <c r="F12" s="39">
        <v>6.9433186781576303E-3</v>
      </c>
      <c r="G12" s="39">
        <v>0.13072948993056899</v>
      </c>
      <c r="H12" s="39">
        <v>1</v>
      </c>
      <c r="I12" s="39">
        <v>7.6735895763080098E-3</v>
      </c>
      <c r="J12" s="39">
        <v>5.16173720649259E-3</v>
      </c>
      <c r="K12" s="39" t="s">
        <v>106</v>
      </c>
      <c r="L12" s="39">
        <v>1</v>
      </c>
      <c r="M12" s="39" t="s">
        <v>106</v>
      </c>
      <c r="N12" s="39" t="s">
        <v>106</v>
      </c>
      <c r="O12" s="39">
        <v>5.16173720649259E-3</v>
      </c>
      <c r="P12" s="39" t="s">
        <v>106</v>
      </c>
      <c r="Q12" s="39">
        <v>1.7450787292299499E-2</v>
      </c>
      <c r="R12" s="39">
        <v>1.24884104136364E-2</v>
      </c>
      <c r="S12" s="39">
        <v>6.3422986547729803E-3</v>
      </c>
      <c r="T12" s="39">
        <v>1.1947307124555001E-2</v>
      </c>
    </row>
    <row r="13" spans="1:20" x14ac:dyDescent="0.2">
      <c r="A13" s="40">
        <v>12</v>
      </c>
      <c r="B13" s="39" t="s">
        <v>106</v>
      </c>
      <c r="C13" s="39">
        <v>0</v>
      </c>
      <c r="D13" s="39" t="s">
        <v>106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 t="s">
        <v>106</v>
      </c>
      <c r="L13" s="39">
        <v>0</v>
      </c>
      <c r="M13" s="39" t="s">
        <v>106</v>
      </c>
      <c r="N13" s="39" t="s">
        <v>106</v>
      </c>
      <c r="O13" s="39">
        <v>0</v>
      </c>
      <c r="P13" s="39" t="s">
        <v>106</v>
      </c>
      <c r="Q13" s="39">
        <v>0</v>
      </c>
      <c r="R13" s="39">
        <v>0</v>
      </c>
      <c r="S13" s="39">
        <v>0</v>
      </c>
      <c r="T13" s="39">
        <v>0</v>
      </c>
    </row>
    <row r="14" spans="1:20" x14ac:dyDescent="0.2">
      <c r="A14" s="40">
        <v>13</v>
      </c>
      <c r="B14" s="39" t="s">
        <v>106</v>
      </c>
      <c r="C14" s="39">
        <v>0</v>
      </c>
      <c r="D14" s="39" t="s">
        <v>106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 t="s">
        <v>106</v>
      </c>
      <c r="L14" s="39">
        <v>0</v>
      </c>
      <c r="M14" s="39" t="s">
        <v>106</v>
      </c>
      <c r="N14" s="39" t="s">
        <v>106</v>
      </c>
      <c r="O14" s="39">
        <v>0</v>
      </c>
      <c r="P14" s="39" t="s">
        <v>106</v>
      </c>
      <c r="Q14" s="39">
        <v>0</v>
      </c>
      <c r="R14" s="39">
        <v>0</v>
      </c>
      <c r="S14" s="39">
        <v>0</v>
      </c>
      <c r="T14" s="39">
        <v>0</v>
      </c>
    </row>
    <row r="15" spans="1:20" x14ac:dyDescent="0.2">
      <c r="A15" s="40">
        <v>14</v>
      </c>
      <c r="B15" s="39" t="s">
        <v>106</v>
      </c>
      <c r="C15" s="39">
        <v>6.1431922374120497E-3</v>
      </c>
      <c r="D15" s="39" t="s">
        <v>106</v>
      </c>
      <c r="E15" s="39">
        <v>8.3744365745978908E-3</v>
      </c>
      <c r="F15" s="39">
        <v>6.9433186781576303E-3</v>
      </c>
      <c r="G15" s="39">
        <v>9.4423632213035298E-3</v>
      </c>
      <c r="H15" s="39">
        <v>5.16173720649259E-3</v>
      </c>
      <c r="I15" s="39">
        <v>7.6735895763080098E-3</v>
      </c>
      <c r="J15" s="39">
        <v>1</v>
      </c>
      <c r="K15" s="39" t="s">
        <v>106</v>
      </c>
      <c r="L15" s="39">
        <v>5.16173720649259E-3</v>
      </c>
      <c r="M15" s="39" t="s">
        <v>106</v>
      </c>
      <c r="N15" s="39" t="s">
        <v>106</v>
      </c>
      <c r="O15" s="39">
        <v>1</v>
      </c>
      <c r="P15" s="39" t="s">
        <v>106</v>
      </c>
      <c r="Q15" s="39">
        <v>3.5291860700616101E-2</v>
      </c>
      <c r="R15" s="39">
        <v>1.24884104136364E-2</v>
      </c>
      <c r="S15" s="39">
        <v>6.3422986547729803E-3</v>
      </c>
      <c r="T15" s="39">
        <v>1.1947307124555001E-2</v>
      </c>
    </row>
    <row r="16" spans="1:20" x14ac:dyDescent="0.2">
      <c r="A16" s="40">
        <v>15</v>
      </c>
      <c r="B16" s="39" t="s">
        <v>106</v>
      </c>
      <c r="C16" s="39">
        <v>0</v>
      </c>
      <c r="D16" s="39" t="s">
        <v>106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 t="s">
        <v>106</v>
      </c>
      <c r="L16" s="39">
        <v>0</v>
      </c>
      <c r="M16" s="39" t="s">
        <v>106</v>
      </c>
      <c r="N16" s="39" t="s">
        <v>106</v>
      </c>
      <c r="O16" s="39">
        <v>0</v>
      </c>
      <c r="P16" s="39" t="s">
        <v>106</v>
      </c>
      <c r="Q16" s="39">
        <v>0</v>
      </c>
      <c r="R16" s="39">
        <v>0</v>
      </c>
      <c r="S16" s="39">
        <v>0</v>
      </c>
      <c r="T16" s="39">
        <v>0</v>
      </c>
    </row>
    <row r="17" spans="1:20" x14ac:dyDescent="0.2">
      <c r="A17" s="40">
        <v>16</v>
      </c>
      <c r="B17" s="39" t="s">
        <v>106</v>
      </c>
      <c r="C17" s="39">
        <v>0.12309049213833401</v>
      </c>
      <c r="D17" s="39" t="s">
        <v>106</v>
      </c>
      <c r="E17" s="39">
        <v>2.8327634480598401E-4</v>
      </c>
      <c r="F17" s="39">
        <v>5.0007107247246198E-2</v>
      </c>
      <c r="G17" s="39">
        <v>2.9382841082047299E-2</v>
      </c>
      <c r="H17" s="39">
        <v>0.103065797065864</v>
      </c>
      <c r="I17" s="39">
        <v>9.7985755253461506E-3</v>
      </c>
      <c r="J17" s="39">
        <v>0.20843665630211999</v>
      </c>
      <c r="K17" s="39" t="s">
        <v>106</v>
      </c>
      <c r="L17" s="39">
        <v>0.103065797065864</v>
      </c>
      <c r="M17" s="39" t="s">
        <v>106</v>
      </c>
      <c r="N17" s="39" t="s">
        <v>106</v>
      </c>
      <c r="O17" s="39">
        <v>0.20843665630211999</v>
      </c>
      <c r="P17" s="39" t="s">
        <v>106</v>
      </c>
      <c r="Q17" s="39">
        <v>1</v>
      </c>
      <c r="R17" s="39">
        <v>2.4820279462248199E-2</v>
      </c>
      <c r="S17" s="39">
        <v>0.12804207759827299</v>
      </c>
      <c r="T17" s="39">
        <v>4.3251511008850697E-2</v>
      </c>
    </row>
    <row r="18" spans="1:20" x14ac:dyDescent="0.2">
      <c r="A18" s="40">
        <v>17</v>
      </c>
      <c r="B18" s="39" t="s">
        <v>106</v>
      </c>
      <c r="C18" s="39">
        <v>9.7986561285534096E-2</v>
      </c>
      <c r="D18" s="39" t="s">
        <v>106</v>
      </c>
      <c r="E18" s="39">
        <v>7.5299322503062996E-2</v>
      </c>
      <c r="F18" s="39">
        <v>6.8684335548651401E-2</v>
      </c>
      <c r="G18" s="39">
        <v>1.48194729625929E-2</v>
      </c>
      <c r="H18" s="39">
        <v>0.103065797065863</v>
      </c>
      <c r="I18" s="39">
        <v>6.7849741199756494E-2</v>
      </c>
      <c r="J18" s="39">
        <v>0.103065797065863</v>
      </c>
      <c r="K18" s="39" t="s">
        <v>106</v>
      </c>
      <c r="L18" s="39">
        <v>0.103065797065863</v>
      </c>
      <c r="M18" s="39" t="s">
        <v>106</v>
      </c>
      <c r="N18" s="39" t="s">
        <v>106</v>
      </c>
      <c r="O18" s="39">
        <v>0.103065797065863</v>
      </c>
      <c r="P18" s="39" t="s">
        <v>106</v>
      </c>
      <c r="Q18" s="39">
        <v>3.46828301669342E-2</v>
      </c>
      <c r="R18" s="39">
        <v>1</v>
      </c>
      <c r="S18" s="39">
        <v>0.1100821271587</v>
      </c>
      <c r="T18" s="39">
        <v>4.0118556525186998E-2</v>
      </c>
    </row>
    <row r="19" spans="1:20" x14ac:dyDescent="0.2">
      <c r="A19" s="40">
        <v>18</v>
      </c>
      <c r="B19" s="39" t="s">
        <v>106</v>
      </c>
      <c r="C19" s="39">
        <v>2.5539413023544101E-2</v>
      </c>
      <c r="D19" s="39" t="s">
        <v>106</v>
      </c>
      <c r="E19" s="39">
        <v>3.4872979448664E-2</v>
      </c>
      <c r="F19" s="39">
        <v>2.8880983877237101E-2</v>
      </c>
      <c r="G19" s="39">
        <v>4.4700725528994997E-2</v>
      </c>
      <c r="H19" s="39">
        <v>2.1448376147481001E-2</v>
      </c>
      <c r="I19" s="39">
        <v>3.1936113725317301E-2</v>
      </c>
      <c r="J19" s="39">
        <v>2.1448376147481001E-2</v>
      </c>
      <c r="K19" s="39" t="s">
        <v>106</v>
      </c>
      <c r="L19" s="39">
        <v>2.1448376147481001E-2</v>
      </c>
      <c r="M19" s="39" t="s">
        <v>106</v>
      </c>
      <c r="N19" s="39" t="s">
        <v>106</v>
      </c>
      <c r="O19" s="39">
        <v>2.1448376147481001E-2</v>
      </c>
      <c r="P19" s="39" t="s">
        <v>106</v>
      </c>
      <c r="Q19" s="39">
        <v>7.3316360773890504E-2</v>
      </c>
      <c r="R19" s="39">
        <v>4.5108370419209197E-2</v>
      </c>
      <c r="S19" s="39">
        <v>1</v>
      </c>
      <c r="T19" s="39">
        <v>3.3890594133120899E-2</v>
      </c>
    </row>
    <row r="20" spans="1:20" x14ac:dyDescent="0.2">
      <c r="A20" s="40">
        <v>19</v>
      </c>
      <c r="B20" s="39" t="s">
        <v>106</v>
      </c>
      <c r="C20" s="39">
        <v>8.6156033918744199E-2</v>
      </c>
      <c r="D20" s="39" t="s">
        <v>106</v>
      </c>
      <c r="E20" s="39">
        <v>2.3674298086748199E-2</v>
      </c>
      <c r="F20" s="39">
        <v>9.76086172370354E-2</v>
      </c>
      <c r="G20" s="39">
        <v>2.8153909523868099E-2</v>
      </c>
      <c r="H20" s="39">
        <v>7.2228257192146705E-2</v>
      </c>
      <c r="I20" s="39">
        <v>7.9634180953411394E-3</v>
      </c>
      <c r="J20" s="39">
        <v>7.2228257192146705E-2</v>
      </c>
      <c r="K20" s="39" t="s">
        <v>106</v>
      </c>
      <c r="L20" s="39">
        <v>7.2228257192146705E-2</v>
      </c>
      <c r="M20" s="39" t="s">
        <v>106</v>
      </c>
      <c r="N20" s="39" t="s">
        <v>106</v>
      </c>
      <c r="O20" s="39">
        <v>7.2228257192146705E-2</v>
      </c>
      <c r="P20" s="39" t="s">
        <v>106</v>
      </c>
      <c r="Q20" s="39">
        <v>4.4272989742346697E-2</v>
      </c>
      <c r="R20" s="39">
        <v>2.93883364284372E-2</v>
      </c>
      <c r="S20" s="39">
        <v>6.0585481203448401E-2</v>
      </c>
      <c r="T20" s="39">
        <v>1</v>
      </c>
    </row>
  </sheetData>
  <phoneticPr fontId="5" type="noConversion"/>
  <conditionalFormatting sqref="B2:S2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D35F-4AD9-4ACB-A0FD-4F9D43838A28}">
  <dimension ref="A1:V24"/>
  <sheetViews>
    <sheetView workbookViewId="0">
      <selection activeCell="R1" sqref="R1:V24"/>
    </sheetView>
  </sheetViews>
  <sheetFormatPr defaultRowHeight="14.25" x14ac:dyDescent="0.2"/>
  <sheetData>
    <row r="1" spans="1:22" x14ac:dyDescent="0.2">
      <c r="A1" t="s">
        <v>23</v>
      </c>
      <c r="B1">
        <v>1</v>
      </c>
      <c r="C1">
        <v>127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287</v>
      </c>
      <c r="L1">
        <v>0</v>
      </c>
      <c r="M1">
        <v>0</v>
      </c>
      <c r="N1">
        <v>0</v>
      </c>
      <c r="O1">
        <v>346</v>
      </c>
      <c r="P1">
        <v>0</v>
      </c>
      <c r="R1" t="s">
        <v>209</v>
      </c>
      <c r="S1">
        <v>2</v>
      </c>
      <c r="T1">
        <v>1</v>
      </c>
      <c r="U1">
        <v>1</v>
      </c>
      <c r="V1">
        <v>5</v>
      </c>
    </row>
    <row r="2" spans="1:22" x14ac:dyDescent="0.2">
      <c r="A2" t="s">
        <v>22</v>
      </c>
      <c r="B2">
        <v>2</v>
      </c>
      <c r="C2">
        <v>127</v>
      </c>
      <c r="D2">
        <v>127</v>
      </c>
      <c r="E2">
        <v>0</v>
      </c>
      <c r="F2">
        <v>0</v>
      </c>
      <c r="G2">
        <v>0</v>
      </c>
      <c r="H2">
        <v>0</v>
      </c>
      <c r="I2">
        <v>190</v>
      </c>
      <c r="J2">
        <v>0</v>
      </c>
      <c r="K2">
        <v>287</v>
      </c>
      <c r="L2">
        <v>0</v>
      </c>
      <c r="M2">
        <v>0</v>
      </c>
      <c r="N2">
        <v>0</v>
      </c>
      <c r="O2">
        <v>346</v>
      </c>
      <c r="P2">
        <v>346</v>
      </c>
      <c r="S2">
        <v>2</v>
      </c>
      <c r="T2">
        <v>1.5</v>
      </c>
      <c r="U2">
        <v>6</v>
      </c>
      <c r="V2">
        <v>12</v>
      </c>
    </row>
    <row r="3" spans="1:22" x14ac:dyDescent="0.2">
      <c r="A3" t="s">
        <v>184</v>
      </c>
      <c r="B3">
        <v>3</v>
      </c>
      <c r="C3">
        <v>0</v>
      </c>
      <c r="D3">
        <v>0</v>
      </c>
      <c r="E3">
        <v>0</v>
      </c>
      <c r="F3">
        <v>127</v>
      </c>
      <c r="G3">
        <v>0</v>
      </c>
      <c r="H3">
        <v>127</v>
      </c>
      <c r="I3">
        <v>190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1</v>
      </c>
      <c r="S3">
        <v>2</v>
      </c>
      <c r="T3">
        <v>2</v>
      </c>
      <c r="U3">
        <v>13</v>
      </c>
      <c r="V3">
        <v>18</v>
      </c>
    </row>
    <row r="4" spans="1:22" x14ac:dyDescent="0.2">
      <c r="A4" t="s">
        <v>24</v>
      </c>
      <c r="B4">
        <v>4</v>
      </c>
      <c r="C4">
        <v>0</v>
      </c>
      <c r="D4">
        <v>127</v>
      </c>
      <c r="E4">
        <v>0</v>
      </c>
      <c r="F4">
        <v>0</v>
      </c>
      <c r="G4">
        <v>0</v>
      </c>
      <c r="H4">
        <v>0</v>
      </c>
      <c r="I4">
        <v>0</v>
      </c>
      <c r="J4">
        <v>197</v>
      </c>
      <c r="K4">
        <v>0</v>
      </c>
      <c r="L4">
        <v>287</v>
      </c>
      <c r="M4">
        <v>0</v>
      </c>
      <c r="N4">
        <v>0</v>
      </c>
      <c r="O4">
        <v>0</v>
      </c>
      <c r="P4">
        <v>0</v>
      </c>
      <c r="S4">
        <v>2</v>
      </c>
      <c r="T4">
        <v>2.5</v>
      </c>
      <c r="U4">
        <v>19</v>
      </c>
      <c r="V4">
        <v>55</v>
      </c>
    </row>
    <row r="5" spans="1:22" x14ac:dyDescent="0.2">
      <c r="A5" t="s">
        <v>31</v>
      </c>
      <c r="B5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2</v>
      </c>
      <c r="S5">
        <v>2</v>
      </c>
      <c r="T5">
        <v>3</v>
      </c>
      <c r="U5">
        <v>56</v>
      </c>
      <c r="V5">
        <v>69</v>
      </c>
    </row>
    <row r="6" spans="1:22" x14ac:dyDescent="0.2">
      <c r="A6" t="s">
        <v>26</v>
      </c>
      <c r="B6">
        <v>6</v>
      </c>
      <c r="C6">
        <v>127</v>
      </c>
      <c r="D6">
        <v>0</v>
      </c>
      <c r="E6">
        <v>127</v>
      </c>
      <c r="F6">
        <v>0</v>
      </c>
      <c r="G6">
        <v>0</v>
      </c>
      <c r="H6">
        <v>127</v>
      </c>
      <c r="I6">
        <v>190</v>
      </c>
      <c r="J6">
        <v>0</v>
      </c>
      <c r="K6">
        <v>287</v>
      </c>
      <c r="L6">
        <v>0</v>
      </c>
      <c r="M6">
        <v>0</v>
      </c>
      <c r="N6">
        <v>0</v>
      </c>
      <c r="O6">
        <v>0</v>
      </c>
      <c r="P6">
        <v>0</v>
      </c>
      <c r="S6">
        <v>2</v>
      </c>
      <c r="T6">
        <v>3.5</v>
      </c>
      <c r="U6">
        <v>70</v>
      </c>
      <c r="V6">
        <v>137</v>
      </c>
    </row>
    <row r="7" spans="1:22" x14ac:dyDescent="0.2">
      <c r="A7" t="s">
        <v>185</v>
      </c>
      <c r="B7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v>3</v>
      </c>
      <c r="S7">
        <v>2</v>
      </c>
      <c r="T7">
        <v>4</v>
      </c>
      <c r="U7">
        <v>138</v>
      </c>
      <c r="V7">
        <v>153</v>
      </c>
    </row>
    <row r="8" spans="1:22" x14ac:dyDescent="0.2">
      <c r="A8" t="s">
        <v>30</v>
      </c>
      <c r="B8">
        <v>8</v>
      </c>
      <c r="C8">
        <v>0</v>
      </c>
      <c r="D8">
        <v>127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287</v>
      </c>
      <c r="L8">
        <v>0</v>
      </c>
      <c r="M8">
        <v>287</v>
      </c>
      <c r="N8">
        <v>287</v>
      </c>
      <c r="O8">
        <v>346</v>
      </c>
      <c r="P8">
        <v>0</v>
      </c>
      <c r="S8">
        <v>2</v>
      </c>
      <c r="T8">
        <v>4.5</v>
      </c>
      <c r="U8">
        <v>154</v>
      </c>
      <c r="V8">
        <v>187</v>
      </c>
    </row>
    <row r="9" spans="1:22" x14ac:dyDescent="0.2">
      <c r="A9" t="s">
        <v>142</v>
      </c>
      <c r="B9">
        <v>9</v>
      </c>
      <c r="C9">
        <v>0</v>
      </c>
      <c r="D9">
        <v>127</v>
      </c>
      <c r="E9">
        <v>0</v>
      </c>
      <c r="F9">
        <v>127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4</v>
      </c>
      <c r="S9">
        <v>2</v>
      </c>
      <c r="T9">
        <v>5</v>
      </c>
      <c r="U9">
        <v>188</v>
      </c>
      <c r="V9">
        <v>191</v>
      </c>
    </row>
    <row r="10" spans="1:22" x14ac:dyDescent="0.2">
      <c r="A10" t="s">
        <v>28</v>
      </c>
      <c r="B10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190</v>
      </c>
      <c r="J10">
        <v>0</v>
      </c>
      <c r="K10">
        <v>0</v>
      </c>
      <c r="L10">
        <v>0</v>
      </c>
      <c r="M10">
        <v>0</v>
      </c>
      <c r="N10">
        <v>287</v>
      </c>
      <c r="O10">
        <v>0</v>
      </c>
      <c r="P10">
        <v>0</v>
      </c>
      <c r="S10">
        <v>2</v>
      </c>
      <c r="T10">
        <v>5.5</v>
      </c>
      <c r="U10">
        <v>192</v>
      </c>
      <c r="V10">
        <v>276</v>
      </c>
    </row>
    <row r="11" spans="1:22" x14ac:dyDescent="0.2">
      <c r="A11" t="s">
        <v>186</v>
      </c>
      <c r="B11">
        <v>11</v>
      </c>
      <c r="C11">
        <v>127</v>
      </c>
      <c r="D11">
        <v>0</v>
      </c>
      <c r="E11">
        <v>0</v>
      </c>
      <c r="F11">
        <v>0</v>
      </c>
      <c r="G11">
        <v>127</v>
      </c>
      <c r="H11">
        <v>0</v>
      </c>
      <c r="I11">
        <v>190</v>
      </c>
      <c r="J11">
        <v>0</v>
      </c>
      <c r="K11">
        <v>287</v>
      </c>
      <c r="L11">
        <v>287</v>
      </c>
      <c r="M11">
        <v>0</v>
      </c>
      <c r="N11">
        <v>0</v>
      </c>
      <c r="O11">
        <v>0</v>
      </c>
      <c r="P11">
        <v>0</v>
      </c>
      <c r="R11">
        <v>5</v>
      </c>
      <c r="S11">
        <v>2</v>
      </c>
      <c r="T11">
        <v>6</v>
      </c>
      <c r="U11">
        <v>277</v>
      </c>
      <c r="V11">
        <v>283</v>
      </c>
    </row>
    <row r="12" spans="1:22" x14ac:dyDescent="0.2">
      <c r="A12" t="s">
        <v>144</v>
      </c>
      <c r="B12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S12">
        <v>2</v>
      </c>
      <c r="T12">
        <v>6.5</v>
      </c>
      <c r="U12">
        <v>284</v>
      </c>
      <c r="V12">
        <v>303</v>
      </c>
    </row>
    <row r="13" spans="1:22" x14ac:dyDescent="0.2">
      <c r="A13" t="s">
        <v>25</v>
      </c>
      <c r="B13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127</v>
      </c>
      <c r="I13">
        <v>0</v>
      </c>
      <c r="J13">
        <v>0</v>
      </c>
      <c r="K13">
        <v>0</v>
      </c>
      <c r="L13">
        <v>0</v>
      </c>
      <c r="M13">
        <v>0</v>
      </c>
      <c r="N13">
        <v>287</v>
      </c>
      <c r="O13">
        <v>0</v>
      </c>
      <c r="P13">
        <v>0</v>
      </c>
      <c r="R13" t="s">
        <v>208</v>
      </c>
      <c r="S13">
        <v>2</v>
      </c>
      <c r="T13">
        <v>7</v>
      </c>
      <c r="U13">
        <v>304</v>
      </c>
      <c r="V13">
        <v>308</v>
      </c>
    </row>
    <row r="14" spans="1:22" x14ac:dyDescent="0.2">
      <c r="A14" t="s">
        <v>187</v>
      </c>
      <c r="B14">
        <v>0</v>
      </c>
      <c r="C14">
        <v>0.77691378928729704</v>
      </c>
      <c r="D14">
        <v>0.85341290354896804</v>
      </c>
      <c r="E14">
        <v>0.795093733886299</v>
      </c>
      <c r="F14">
        <v>0.73487466135017898</v>
      </c>
      <c r="G14">
        <v>0.71734042519880004</v>
      </c>
      <c r="H14">
        <v>0.68011923537464303</v>
      </c>
      <c r="I14">
        <v>0.71270545483210501</v>
      </c>
      <c r="J14">
        <v>0.76587888536708104</v>
      </c>
      <c r="K14">
        <v>0.75341730720712596</v>
      </c>
      <c r="L14">
        <v>0.71667692242732695</v>
      </c>
      <c r="M14">
        <v>0.809104968581004</v>
      </c>
      <c r="N14">
        <v>0.67170214787819305</v>
      </c>
      <c r="O14">
        <v>0.740202795670028</v>
      </c>
      <c r="P14">
        <v>0.71961543835661002</v>
      </c>
      <c r="S14">
        <v>2</v>
      </c>
      <c r="T14">
        <v>7.5</v>
      </c>
      <c r="U14">
        <v>309</v>
      </c>
      <c r="V14">
        <v>337</v>
      </c>
    </row>
    <row r="15" spans="1:22" x14ac:dyDescent="0.2">
      <c r="R15">
        <v>6</v>
      </c>
      <c r="S15">
        <v>2</v>
      </c>
      <c r="T15">
        <v>8</v>
      </c>
      <c r="U15">
        <v>338</v>
      </c>
      <c r="V15">
        <v>352</v>
      </c>
    </row>
    <row r="16" spans="1:22" x14ac:dyDescent="0.2">
      <c r="C16">
        <v>127</v>
      </c>
      <c r="D16" s="55">
        <v>190</v>
      </c>
      <c r="E16" s="55">
        <v>197</v>
      </c>
      <c r="F16" s="55">
        <v>287</v>
      </c>
      <c r="G16">
        <v>346</v>
      </c>
      <c r="S16">
        <v>2</v>
      </c>
      <c r="T16">
        <v>8.5</v>
      </c>
      <c r="U16">
        <v>353</v>
      </c>
      <c r="V16">
        <v>386</v>
      </c>
    </row>
    <row r="17" spans="3:22" x14ac:dyDescent="0.2">
      <c r="C17">
        <v>0.85341290354896804</v>
      </c>
      <c r="D17">
        <v>0.71270545483210501</v>
      </c>
      <c r="E17">
        <v>0.76587888536708104</v>
      </c>
      <c r="F17">
        <v>0.809104968581004</v>
      </c>
      <c r="G17">
        <v>0.740202795670028</v>
      </c>
      <c r="R17">
        <v>7</v>
      </c>
      <c r="S17">
        <v>2</v>
      </c>
      <c r="T17">
        <v>9</v>
      </c>
      <c r="U17">
        <v>387</v>
      </c>
      <c r="V17">
        <v>392</v>
      </c>
    </row>
    <row r="18" spans="3:22" x14ac:dyDescent="0.2">
      <c r="C18">
        <v>2.5</v>
      </c>
      <c r="D18">
        <v>4</v>
      </c>
      <c r="E18">
        <v>4.5</v>
      </c>
      <c r="F18" t="s">
        <v>222</v>
      </c>
      <c r="G18">
        <v>6</v>
      </c>
      <c r="S18">
        <v>2</v>
      </c>
      <c r="T18">
        <v>9.5</v>
      </c>
      <c r="U18">
        <v>393</v>
      </c>
      <c r="V18">
        <v>404</v>
      </c>
    </row>
    <row r="19" spans="3:22" x14ac:dyDescent="0.2">
      <c r="R19">
        <v>8</v>
      </c>
      <c r="S19">
        <v>2</v>
      </c>
      <c r="T19">
        <v>10</v>
      </c>
      <c r="U19">
        <v>405</v>
      </c>
      <c r="V19">
        <v>414</v>
      </c>
    </row>
    <row r="20" spans="3:22" x14ac:dyDescent="0.2">
      <c r="S20">
        <v>2</v>
      </c>
      <c r="T20">
        <v>10.5</v>
      </c>
      <c r="U20">
        <v>415</v>
      </c>
      <c r="V20">
        <v>505</v>
      </c>
    </row>
    <row r="21" spans="3:22" x14ac:dyDescent="0.2">
      <c r="R21">
        <v>9</v>
      </c>
      <c r="S21">
        <v>2</v>
      </c>
      <c r="T21">
        <v>11</v>
      </c>
      <c r="U21">
        <v>506</v>
      </c>
      <c r="V21">
        <v>512</v>
      </c>
    </row>
    <row r="22" spans="3:22" x14ac:dyDescent="0.2">
      <c r="S22">
        <v>2</v>
      </c>
      <c r="T22">
        <v>11.5</v>
      </c>
      <c r="U22">
        <v>513</v>
      </c>
      <c r="V22">
        <v>526</v>
      </c>
    </row>
    <row r="23" spans="3:22" x14ac:dyDescent="0.2">
      <c r="R23">
        <v>10</v>
      </c>
      <c r="S23">
        <v>2</v>
      </c>
      <c r="T23">
        <v>12</v>
      </c>
      <c r="U23">
        <v>527</v>
      </c>
      <c r="V23">
        <v>532</v>
      </c>
    </row>
    <row r="24" spans="3:22" x14ac:dyDescent="0.2">
      <c r="S24">
        <v>3</v>
      </c>
      <c r="T24">
        <v>0.5</v>
      </c>
      <c r="U24">
        <v>533</v>
      </c>
      <c r="V24">
        <v>566</v>
      </c>
    </row>
  </sheetData>
  <phoneticPr fontId="5" type="noConversion"/>
  <conditionalFormatting sqref="C14:P1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E1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G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G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862B-ABEB-48D2-8C70-98B739CF326D}">
  <dimension ref="A1:H70"/>
  <sheetViews>
    <sheetView workbookViewId="0">
      <selection activeCell="I11" sqref="I11"/>
    </sheetView>
  </sheetViews>
  <sheetFormatPr defaultRowHeight="14.25" x14ac:dyDescent="0.2"/>
  <sheetData>
    <row r="1" spans="1:8" x14ac:dyDescent="0.2">
      <c r="C1">
        <v>127</v>
      </c>
      <c r="D1">
        <v>190</v>
      </c>
      <c r="E1">
        <v>197</v>
      </c>
      <c r="F1">
        <v>287</v>
      </c>
      <c r="G1">
        <v>346</v>
      </c>
      <c r="H1" t="s">
        <v>203</v>
      </c>
    </row>
    <row r="2" spans="1:8" x14ac:dyDescent="0.2">
      <c r="C2">
        <v>0.85341290354896804</v>
      </c>
      <c r="D2">
        <v>0.71270545483210501</v>
      </c>
      <c r="E2">
        <v>0.76587888536708104</v>
      </c>
      <c r="F2">
        <v>0.809104968581004</v>
      </c>
      <c r="G2">
        <v>0.740202795670028</v>
      </c>
      <c r="H2" t="s">
        <v>202</v>
      </c>
    </row>
    <row r="3" spans="1:8" x14ac:dyDescent="0.2">
      <c r="A3" t="s">
        <v>200</v>
      </c>
      <c r="B3" t="s">
        <v>201</v>
      </c>
      <c r="C3">
        <v>2.5</v>
      </c>
      <c r="D3">
        <v>4</v>
      </c>
      <c r="E3">
        <v>4.5</v>
      </c>
      <c r="F3" t="s">
        <v>222</v>
      </c>
      <c r="G3">
        <v>6</v>
      </c>
      <c r="H3" t="s">
        <v>204</v>
      </c>
    </row>
    <row r="4" spans="1:8" x14ac:dyDescent="0.2">
      <c r="A4">
        <v>60</v>
      </c>
      <c r="B4">
        <v>1</v>
      </c>
      <c r="C4" t="s">
        <v>42</v>
      </c>
      <c r="D4" t="s">
        <v>51</v>
      </c>
      <c r="E4" t="s">
        <v>197</v>
      </c>
      <c r="F4" t="s">
        <v>189</v>
      </c>
      <c r="G4" t="s">
        <v>190</v>
      </c>
    </row>
    <row r="5" spans="1:8" x14ac:dyDescent="0.2">
      <c r="A5">
        <v>41</v>
      </c>
      <c r="B5">
        <v>1</v>
      </c>
      <c r="C5" t="s">
        <v>42</v>
      </c>
      <c r="D5" t="s">
        <v>51</v>
      </c>
      <c r="E5" t="s">
        <v>188</v>
      </c>
      <c r="F5" t="s">
        <v>189</v>
      </c>
      <c r="G5" t="s">
        <v>190</v>
      </c>
    </row>
    <row r="6" spans="1:8" x14ac:dyDescent="0.2">
      <c r="A6">
        <v>23</v>
      </c>
      <c r="B6">
        <v>1</v>
      </c>
      <c r="C6" t="s">
        <v>42</v>
      </c>
      <c r="D6" t="s">
        <v>198</v>
      </c>
      <c r="E6" t="s">
        <v>42</v>
      </c>
      <c r="F6" t="s">
        <v>47</v>
      </c>
      <c r="G6" t="s">
        <v>190</v>
      </c>
    </row>
    <row r="7" spans="1:8" x14ac:dyDescent="0.2">
      <c r="A7">
        <v>16</v>
      </c>
      <c r="B7">
        <v>1</v>
      </c>
      <c r="C7" t="s">
        <v>199</v>
      </c>
      <c r="D7" t="s">
        <v>51</v>
      </c>
      <c r="E7" t="s">
        <v>51</v>
      </c>
      <c r="F7" t="s">
        <v>189</v>
      </c>
      <c r="G7" t="s">
        <v>190</v>
      </c>
    </row>
    <row r="8" spans="1:8" x14ac:dyDescent="0.2">
      <c r="A8">
        <v>15</v>
      </c>
      <c r="B8">
        <v>1</v>
      </c>
      <c r="C8" t="s">
        <v>43</v>
      </c>
      <c r="D8" t="s">
        <v>51</v>
      </c>
      <c r="E8" t="s">
        <v>42</v>
      </c>
      <c r="F8" t="s">
        <v>189</v>
      </c>
      <c r="G8" t="s">
        <v>190</v>
      </c>
    </row>
    <row r="9" spans="1:8" x14ac:dyDescent="0.2">
      <c r="A9">
        <v>33</v>
      </c>
      <c r="B9">
        <v>1</v>
      </c>
      <c r="C9" t="s">
        <v>43</v>
      </c>
      <c r="D9" t="s">
        <v>51</v>
      </c>
      <c r="E9" t="s">
        <v>42</v>
      </c>
      <c r="F9" t="s">
        <v>189</v>
      </c>
      <c r="G9" t="s">
        <v>190</v>
      </c>
    </row>
    <row r="10" spans="1:8" x14ac:dyDescent="0.2">
      <c r="A10">
        <v>52</v>
      </c>
      <c r="B10">
        <v>1</v>
      </c>
      <c r="C10" t="s">
        <v>43</v>
      </c>
      <c r="D10" t="s">
        <v>51</v>
      </c>
      <c r="E10" t="s">
        <v>42</v>
      </c>
      <c r="F10" t="s">
        <v>189</v>
      </c>
      <c r="G10" t="s">
        <v>190</v>
      </c>
    </row>
    <row r="11" spans="1:8" x14ac:dyDescent="0.2">
      <c r="A11">
        <v>70</v>
      </c>
      <c r="B11">
        <v>1</v>
      </c>
      <c r="C11" t="s">
        <v>43</v>
      </c>
      <c r="D11" t="s">
        <v>51</v>
      </c>
      <c r="E11" t="s">
        <v>42</v>
      </c>
      <c r="F11" t="s">
        <v>189</v>
      </c>
      <c r="G11" t="s">
        <v>190</v>
      </c>
    </row>
    <row r="12" spans="1:8" x14ac:dyDescent="0.2">
      <c r="A12">
        <v>85</v>
      </c>
      <c r="B12">
        <v>1</v>
      </c>
      <c r="C12" t="s">
        <v>43</v>
      </c>
      <c r="D12" t="s">
        <v>51</v>
      </c>
      <c r="E12" t="s">
        <v>42</v>
      </c>
      <c r="F12" t="s">
        <v>189</v>
      </c>
      <c r="G12" t="s">
        <v>190</v>
      </c>
    </row>
    <row r="13" spans="1:8" x14ac:dyDescent="0.2">
      <c r="A13">
        <v>90</v>
      </c>
      <c r="B13">
        <v>1</v>
      </c>
      <c r="C13" t="s">
        <v>43</v>
      </c>
      <c r="D13" t="s">
        <v>51</v>
      </c>
      <c r="E13" t="s">
        <v>42</v>
      </c>
      <c r="F13" t="s">
        <v>189</v>
      </c>
      <c r="G13" t="s">
        <v>190</v>
      </c>
    </row>
    <row r="14" spans="1:8" x14ac:dyDescent="0.2">
      <c r="A14">
        <v>99</v>
      </c>
      <c r="B14">
        <v>1</v>
      </c>
      <c r="C14" t="s">
        <v>43</v>
      </c>
      <c r="D14" t="s">
        <v>51</v>
      </c>
      <c r="E14" t="s">
        <v>42</v>
      </c>
      <c r="F14" t="s">
        <v>189</v>
      </c>
      <c r="G14" t="s">
        <v>190</v>
      </c>
    </row>
    <row r="15" spans="1:8" x14ac:dyDescent="0.2">
      <c r="A15">
        <v>102</v>
      </c>
      <c r="B15">
        <v>1</v>
      </c>
      <c r="C15" t="s">
        <v>43</v>
      </c>
      <c r="D15" t="s">
        <v>51</v>
      </c>
      <c r="E15" t="s">
        <v>42</v>
      </c>
      <c r="F15" t="s">
        <v>189</v>
      </c>
      <c r="G15" t="s">
        <v>190</v>
      </c>
    </row>
    <row r="16" spans="1:8" x14ac:dyDescent="0.2">
      <c r="A16">
        <v>21</v>
      </c>
      <c r="B16">
        <v>1</v>
      </c>
      <c r="C16" t="s">
        <v>43</v>
      </c>
      <c r="D16" t="s">
        <v>47</v>
      </c>
      <c r="E16" t="s">
        <v>42</v>
      </c>
      <c r="F16" t="s">
        <v>189</v>
      </c>
      <c r="G16" t="s">
        <v>190</v>
      </c>
    </row>
    <row r="17" spans="1:7" x14ac:dyDescent="0.2">
      <c r="A17">
        <v>1</v>
      </c>
      <c r="B17">
        <v>1</v>
      </c>
      <c r="C17" t="s">
        <v>43</v>
      </c>
      <c r="D17" t="s">
        <v>51</v>
      </c>
      <c r="E17" t="s">
        <v>43</v>
      </c>
      <c r="F17" t="s">
        <v>189</v>
      </c>
      <c r="G17" t="s">
        <v>190</v>
      </c>
    </row>
    <row r="18" spans="1:7" x14ac:dyDescent="0.2">
      <c r="A18">
        <v>9</v>
      </c>
      <c r="B18">
        <v>1</v>
      </c>
      <c r="C18" t="s">
        <v>43</v>
      </c>
      <c r="D18" t="s">
        <v>51</v>
      </c>
      <c r="E18" t="s">
        <v>43</v>
      </c>
      <c r="F18" t="s">
        <v>189</v>
      </c>
      <c r="G18" t="s">
        <v>190</v>
      </c>
    </row>
    <row r="19" spans="1:7" x14ac:dyDescent="0.2">
      <c r="A19">
        <v>19</v>
      </c>
      <c r="B19">
        <v>1</v>
      </c>
      <c r="C19" t="s">
        <v>43</v>
      </c>
      <c r="D19" t="s">
        <v>51</v>
      </c>
      <c r="E19" t="s">
        <v>43</v>
      </c>
      <c r="F19" t="s">
        <v>189</v>
      </c>
      <c r="G19" t="s">
        <v>190</v>
      </c>
    </row>
    <row r="20" spans="1:7" x14ac:dyDescent="0.2">
      <c r="A20">
        <v>27</v>
      </c>
      <c r="B20">
        <v>1</v>
      </c>
      <c r="C20" t="s">
        <v>43</v>
      </c>
      <c r="D20" t="s">
        <v>51</v>
      </c>
      <c r="E20" t="s">
        <v>43</v>
      </c>
      <c r="F20" t="s">
        <v>189</v>
      </c>
      <c r="G20" t="s">
        <v>190</v>
      </c>
    </row>
    <row r="21" spans="1:7" x14ac:dyDescent="0.2">
      <c r="A21">
        <v>30</v>
      </c>
      <c r="B21">
        <v>1</v>
      </c>
      <c r="C21" t="s">
        <v>43</v>
      </c>
      <c r="D21" t="s">
        <v>51</v>
      </c>
      <c r="E21" t="s">
        <v>43</v>
      </c>
      <c r="F21" t="s">
        <v>189</v>
      </c>
      <c r="G21" t="s">
        <v>190</v>
      </c>
    </row>
    <row r="22" spans="1:7" x14ac:dyDescent="0.2">
      <c r="A22">
        <v>38</v>
      </c>
      <c r="B22">
        <v>1</v>
      </c>
      <c r="C22" t="s">
        <v>43</v>
      </c>
      <c r="D22" t="s">
        <v>51</v>
      </c>
      <c r="E22" t="s">
        <v>43</v>
      </c>
      <c r="F22" t="s">
        <v>189</v>
      </c>
      <c r="G22" t="s">
        <v>190</v>
      </c>
    </row>
    <row r="23" spans="1:7" x14ac:dyDescent="0.2">
      <c r="A23">
        <v>56</v>
      </c>
      <c r="B23">
        <v>1</v>
      </c>
      <c r="C23" t="s">
        <v>43</v>
      </c>
      <c r="D23" t="s">
        <v>51</v>
      </c>
      <c r="E23" t="s">
        <v>43</v>
      </c>
      <c r="F23" t="s">
        <v>189</v>
      </c>
      <c r="G23" t="s">
        <v>190</v>
      </c>
    </row>
    <row r="24" spans="1:7" x14ac:dyDescent="0.2">
      <c r="A24">
        <v>64</v>
      </c>
      <c r="B24">
        <v>1</v>
      </c>
      <c r="C24" t="s">
        <v>43</v>
      </c>
      <c r="D24" t="s">
        <v>51</v>
      </c>
      <c r="E24" t="s">
        <v>43</v>
      </c>
      <c r="F24" t="s">
        <v>189</v>
      </c>
      <c r="G24" t="s">
        <v>190</v>
      </c>
    </row>
    <row r="25" spans="1:7" x14ac:dyDescent="0.2">
      <c r="A25">
        <v>81</v>
      </c>
      <c r="B25">
        <v>1</v>
      </c>
      <c r="C25" t="s">
        <v>43</v>
      </c>
      <c r="D25" t="s">
        <v>51</v>
      </c>
      <c r="E25" t="s">
        <v>43</v>
      </c>
      <c r="F25" t="s">
        <v>189</v>
      </c>
      <c r="G25" t="s">
        <v>190</v>
      </c>
    </row>
    <row r="26" spans="1:7" x14ac:dyDescent="0.2">
      <c r="A26">
        <v>88</v>
      </c>
      <c r="B26">
        <v>1</v>
      </c>
      <c r="C26" t="s">
        <v>43</v>
      </c>
      <c r="D26" t="s">
        <v>51</v>
      </c>
      <c r="E26" t="s">
        <v>43</v>
      </c>
      <c r="F26" t="s">
        <v>189</v>
      </c>
      <c r="G26" t="s">
        <v>190</v>
      </c>
    </row>
    <row r="27" spans="1:7" x14ac:dyDescent="0.2">
      <c r="A27">
        <v>12</v>
      </c>
      <c r="B27">
        <v>1</v>
      </c>
      <c r="C27" t="s">
        <v>196</v>
      </c>
      <c r="D27" t="s">
        <v>51</v>
      </c>
      <c r="E27" t="s">
        <v>42</v>
      </c>
      <c r="F27" t="s">
        <v>189</v>
      </c>
      <c r="G27" t="s">
        <v>190</v>
      </c>
    </row>
    <row r="28" spans="1:7" x14ac:dyDescent="0.2">
      <c r="A28">
        <v>25</v>
      </c>
      <c r="B28">
        <v>1</v>
      </c>
      <c r="C28" t="s">
        <v>196</v>
      </c>
      <c r="D28" t="s">
        <v>51</v>
      </c>
      <c r="E28" t="s">
        <v>42</v>
      </c>
      <c r="F28" t="s">
        <v>189</v>
      </c>
      <c r="G28" t="s">
        <v>190</v>
      </c>
    </row>
    <row r="29" spans="1:7" x14ac:dyDescent="0.2">
      <c r="A29">
        <v>49</v>
      </c>
      <c r="B29">
        <v>1</v>
      </c>
      <c r="C29" t="s">
        <v>196</v>
      </c>
      <c r="D29" t="s">
        <v>51</v>
      </c>
      <c r="E29" t="s">
        <v>42</v>
      </c>
      <c r="F29" t="s">
        <v>189</v>
      </c>
      <c r="G29" t="s">
        <v>190</v>
      </c>
    </row>
    <row r="30" spans="1:7" x14ac:dyDescent="0.2">
      <c r="A30">
        <v>71</v>
      </c>
      <c r="B30">
        <v>1</v>
      </c>
      <c r="C30" t="s">
        <v>196</v>
      </c>
      <c r="D30" t="s">
        <v>51</v>
      </c>
      <c r="E30" t="s">
        <v>51</v>
      </c>
      <c r="F30" t="s">
        <v>189</v>
      </c>
      <c r="G30" t="s">
        <v>190</v>
      </c>
    </row>
    <row r="31" spans="1:7" x14ac:dyDescent="0.2">
      <c r="A31">
        <v>67</v>
      </c>
      <c r="B31">
        <v>1</v>
      </c>
      <c r="C31" t="s">
        <v>188</v>
      </c>
      <c r="D31" t="s">
        <v>51</v>
      </c>
      <c r="E31" t="s">
        <v>42</v>
      </c>
      <c r="F31" t="s">
        <v>189</v>
      </c>
      <c r="G31" t="s">
        <v>190</v>
      </c>
    </row>
    <row r="32" spans="1:7" x14ac:dyDescent="0.2">
      <c r="A32">
        <v>22</v>
      </c>
      <c r="B32">
        <v>2</v>
      </c>
      <c r="C32" t="s">
        <v>192</v>
      </c>
      <c r="D32" t="s">
        <v>51</v>
      </c>
      <c r="E32" t="s">
        <v>51</v>
      </c>
      <c r="F32" t="s">
        <v>189</v>
      </c>
      <c r="G32" t="s">
        <v>190</v>
      </c>
    </row>
    <row r="33" spans="1:7" x14ac:dyDescent="0.2">
      <c r="A33">
        <v>3</v>
      </c>
      <c r="B33">
        <v>2</v>
      </c>
      <c r="C33" t="s">
        <v>192</v>
      </c>
      <c r="D33" t="s">
        <v>47</v>
      </c>
      <c r="E33" t="s">
        <v>51</v>
      </c>
      <c r="F33" t="s">
        <v>51</v>
      </c>
      <c r="G33" t="s">
        <v>190</v>
      </c>
    </row>
    <row r="34" spans="1:7" x14ac:dyDescent="0.2">
      <c r="A34">
        <v>40</v>
      </c>
      <c r="B34">
        <v>2</v>
      </c>
      <c r="C34" t="s">
        <v>192</v>
      </c>
      <c r="D34" t="s">
        <v>47</v>
      </c>
      <c r="E34" t="s">
        <v>51</v>
      </c>
      <c r="F34" t="s">
        <v>51</v>
      </c>
      <c r="G34" t="s">
        <v>190</v>
      </c>
    </row>
    <row r="35" spans="1:7" x14ac:dyDescent="0.2">
      <c r="A35">
        <v>58</v>
      </c>
      <c r="B35">
        <v>2</v>
      </c>
      <c r="C35" t="s">
        <v>192</v>
      </c>
      <c r="D35" t="s">
        <v>47</v>
      </c>
      <c r="E35" t="s">
        <v>51</v>
      </c>
      <c r="F35" t="s">
        <v>51</v>
      </c>
      <c r="G35" t="s">
        <v>190</v>
      </c>
    </row>
    <row r="36" spans="1:7" x14ac:dyDescent="0.2">
      <c r="A36">
        <v>63</v>
      </c>
      <c r="B36">
        <v>2</v>
      </c>
      <c r="C36" t="s">
        <v>195</v>
      </c>
      <c r="D36" t="s">
        <v>191</v>
      </c>
      <c r="E36" t="s">
        <v>188</v>
      </c>
      <c r="F36" t="s">
        <v>191</v>
      </c>
      <c r="G36" t="s">
        <v>196</v>
      </c>
    </row>
    <row r="37" spans="1:7" x14ac:dyDescent="0.2">
      <c r="A37">
        <v>6</v>
      </c>
      <c r="B37">
        <v>4</v>
      </c>
      <c r="C37" t="s">
        <v>191</v>
      </c>
      <c r="D37" t="s">
        <v>43</v>
      </c>
      <c r="E37" t="s">
        <v>190</v>
      </c>
      <c r="F37" t="s">
        <v>194</v>
      </c>
      <c r="G37" t="s">
        <v>42</v>
      </c>
    </row>
    <row r="38" spans="1:7" x14ac:dyDescent="0.2">
      <c r="A38">
        <v>43</v>
      </c>
      <c r="B38">
        <v>4</v>
      </c>
      <c r="C38" t="s">
        <v>191</v>
      </c>
      <c r="D38" t="s">
        <v>43</v>
      </c>
      <c r="E38" t="s">
        <v>190</v>
      </c>
      <c r="F38" t="s">
        <v>194</v>
      </c>
      <c r="G38" t="s">
        <v>42</v>
      </c>
    </row>
    <row r="39" spans="1:7" x14ac:dyDescent="0.2">
      <c r="A39">
        <v>61</v>
      </c>
      <c r="B39">
        <v>4</v>
      </c>
      <c r="C39" t="s">
        <v>191</v>
      </c>
      <c r="D39" t="s">
        <v>43</v>
      </c>
      <c r="E39" t="s">
        <v>190</v>
      </c>
      <c r="F39" t="s">
        <v>194</v>
      </c>
      <c r="G39" t="s">
        <v>42</v>
      </c>
    </row>
    <row r="40" spans="1:7" x14ac:dyDescent="0.2">
      <c r="A40">
        <v>36</v>
      </c>
      <c r="B40">
        <v>4</v>
      </c>
      <c r="C40" t="s">
        <v>50</v>
      </c>
      <c r="D40" t="s">
        <v>43</v>
      </c>
      <c r="E40" t="s">
        <v>42</v>
      </c>
      <c r="F40" t="s">
        <v>194</v>
      </c>
      <c r="G40" t="s">
        <v>47</v>
      </c>
    </row>
    <row r="41" spans="1:7" x14ac:dyDescent="0.2">
      <c r="A41">
        <v>17</v>
      </c>
      <c r="B41">
        <v>4</v>
      </c>
      <c r="C41" t="s">
        <v>50</v>
      </c>
      <c r="D41" t="s">
        <v>43</v>
      </c>
      <c r="E41" t="s">
        <v>43</v>
      </c>
      <c r="F41" t="s">
        <v>194</v>
      </c>
      <c r="G41" t="s">
        <v>42</v>
      </c>
    </row>
    <row r="42" spans="1:7" x14ac:dyDescent="0.2">
      <c r="A42">
        <v>35</v>
      </c>
      <c r="B42">
        <v>4</v>
      </c>
      <c r="C42" t="s">
        <v>50</v>
      </c>
      <c r="D42" t="s">
        <v>43</v>
      </c>
      <c r="E42" t="s">
        <v>43</v>
      </c>
      <c r="F42" t="s">
        <v>194</v>
      </c>
      <c r="G42" t="s">
        <v>42</v>
      </c>
    </row>
    <row r="43" spans="1:7" x14ac:dyDescent="0.2">
      <c r="A43">
        <v>54</v>
      </c>
      <c r="B43">
        <v>4</v>
      </c>
      <c r="C43" t="s">
        <v>50</v>
      </c>
      <c r="D43" t="s">
        <v>43</v>
      </c>
      <c r="E43" t="s">
        <v>43</v>
      </c>
      <c r="F43" t="s">
        <v>194</v>
      </c>
      <c r="G43" t="s">
        <v>42</v>
      </c>
    </row>
    <row r="44" spans="1:7" x14ac:dyDescent="0.2">
      <c r="A44">
        <v>72</v>
      </c>
      <c r="B44">
        <v>4</v>
      </c>
      <c r="C44" t="s">
        <v>50</v>
      </c>
      <c r="D44" t="s">
        <v>43</v>
      </c>
      <c r="E44" t="s">
        <v>43</v>
      </c>
      <c r="F44" t="s">
        <v>194</v>
      </c>
      <c r="G44" t="s">
        <v>42</v>
      </c>
    </row>
    <row r="45" spans="1:7" x14ac:dyDescent="0.2">
      <c r="A45">
        <v>24</v>
      </c>
      <c r="B45">
        <v>4</v>
      </c>
      <c r="C45" t="s">
        <v>190</v>
      </c>
      <c r="D45" t="s">
        <v>43</v>
      </c>
      <c r="E45" t="s">
        <v>190</v>
      </c>
      <c r="F45" t="s">
        <v>194</v>
      </c>
      <c r="G45" t="s">
        <v>42</v>
      </c>
    </row>
    <row r="46" spans="1:7" x14ac:dyDescent="0.2">
      <c r="A46">
        <v>97</v>
      </c>
      <c r="B46">
        <v>6</v>
      </c>
      <c r="C46" t="s">
        <v>43</v>
      </c>
      <c r="D46" t="s">
        <v>47</v>
      </c>
      <c r="E46" t="s">
        <v>45</v>
      </c>
      <c r="F46" t="s">
        <v>189</v>
      </c>
      <c r="G46" t="s">
        <v>50</v>
      </c>
    </row>
    <row r="47" spans="1:7" x14ac:dyDescent="0.2">
      <c r="A47">
        <v>10</v>
      </c>
      <c r="B47">
        <v>6</v>
      </c>
      <c r="C47" t="s">
        <v>43</v>
      </c>
      <c r="D47" t="s">
        <v>47</v>
      </c>
      <c r="E47" t="s">
        <v>44</v>
      </c>
      <c r="F47" t="s">
        <v>189</v>
      </c>
      <c r="G47" t="s">
        <v>188</v>
      </c>
    </row>
    <row r="48" spans="1:7" x14ac:dyDescent="0.2">
      <c r="A48">
        <v>57</v>
      </c>
      <c r="B48">
        <v>6</v>
      </c>
      <c r="C48" t="s">
        <v>43</v>
      </c>
      <c r="D48" t="s">
        <v>191</v>
      </c>
      <c r="E48" t="s">
        <v>42</v>
      </c>
      <c r="F48" t="s">
        <v>51</v>
      </c>
      <c r="G48" t="s">
        <v>190</v>
      </c>
    </row>
    <row r="49" spans="1:7" x14ac:dyDescent="0.2">
      <c r="A49">
        <v>28</v>
      </c>
      <c r="B49">
        <v>6</v>
      </c>
      <c r="C49" t="s">
        <v>195</v>
      </c>
      <c r="D49" t="s">
        <v>47</v>
      </c>
      <c r="E49" t="s">
        <v>196</v>
      </c>
      <c r="F49" t="s">
        <v>51</v>
      </c>
      <c r="G49" t="s">
        <v>42</v>
      </c>
    </row>
    <row r="50" spans="1:7" x14ac:dyDescent="0.2">
      <c r="A50">
        <v>29</v>
      </c>
      <c r="B50">
        <v>8</v>
      </c>
      <c r="C50" t="s">
        <v>193</v>
      </c>
      <c r="D50" t="s">
        <v>189</v>
      </c>
      <c r="E50" t="s">
        <v>198</v>
      </c>
      <c r="F50" t="s">
        <v>198</v>
      </c>
      <c r="G50" t="s">
        <v>190</v>
      </c>
    </row>
    <row r="51" spans="1:7" x14ac:dyDescent="0.2">
      <c r="A51">
        <v>66</v>
      </c>
      <c r="B51">
        <v>8</v>
      </c>
      <c r="C51" t="s">
        <v>193</v>
      </c>
      <c r="D51" t="s">
        <v>189</v>
      </c>
      <c r="E51" t="s">
        <v>198</v>
      </c>
      <c r="F51" t="s">
        <v>47</v>
      </c>
      <c r="G51" t="s">
        <v>190</v>
      </c>
    </row>
    <row r="52" spans="1:7" x14ac:dyDescent="0.2">
      <c r="A52">
        <v>4</v>
      </c>
      <c r="B52">
        <v>8</v>
      </c>
      <c r="C52" t="s">
        <v>42</v>
      </c>
      <c r="D52" t="s">
        <v>198</v>
      </c>
      <c r="E52" t="s">
        <v>50</v>
      </c>
      <c r="F52" t="s">
        <v>42</v>
      </c>
      <c r="G52" t="s">
        <v>191</v>
      </c>
    </row>
    <row r="53" spans="1:7" x14ac:dyDescent="0.2">
      <c r="A53">
        <v>14</v>
      </c>
      <c r="B53">
        <v>8</v>
      </c>
      <c r="C53" t="s">
        <v>45</v>
      </c>
      <c r="D53" t="s">
        <v>42</v>
      </c>
      <c r="E53" t="s">
        <v>42</v>
      </c>
      <c r="F53" t="s">
        <v>189</v>
      </c>
      <c r="G53" t="s">
        <v>196</v>
      </c>
    </row>
    <row r="54" spans="1:7" x14ac:dyDescent="0.2">
      <c r="A54">
        <v>51</v>
      </c>
      <c r="B54">
        <v>8</v>
      </c>
      <c r="C54" t="s">
        <v>192</v>
      </c>
      <c r="D54" t="s">
        <v>42</v>
      </c>
      <c r="E54" t="s">
        <v>42</v>
      </c>
      <c r="F54" t="s">
        <v>189</v>
      </c>
      <c r="G54" t="s">
        <v>196</v>
      </c>
    </row>
    <row r="55" spans="1:7" x14ac:dyDescent="0.2">
      <c r="A55">
        <v>69</v>
      </c>
      <c r="B55">
        <v>8</v>
      </c>
      <c r="C55" t="s">
        <v>192</v>
      </c>
      <c r="D55" t="s">
        <v>42</v>
      </c>
      <c r="E55" t="s">
        <v>42</v>
      </c>
      <c r="F55" t="s">
        <v>189</v>
      </c>
      <c r="G55" t="s">
        <v>196</v>
      </c>
    </row>
    <row r="56" spans="1:7" x14ac:dyDescent="0.2">
      <c r="A56">
        <v>37</v>
      </c>
      <c r="B56">
        <v>9</v>
      </c>
      <c r="C56" t="s">
        <v>50</v>
      </c>
      <c r="D56" t="s">
        <v>42</v>
      </c>
      <c r="E56" t="s">
        <v>42</v>
      </c>
      <c r="F56" t="s">
        <v>43</v>
      </c>
      <c r="G56" t="s">
        <v>197</v>
      </c>
    </row>
    <row r="57" spans="1:7" x14ac:dyDescent="0.2">
      <c r="A57">
        <v>55</v>
      </c>
      <c r="B57">
        <v>9</v>
      </c>
      <c r="C57" t="s">
        <v>50</v>
      </c>
      <c r="D57" t="s">
        <v>42</v>
      </c>
      <c r="E57" t="s">
        <v>190</v>
      </c>
      <c r="F57" t="s">
        <v>43</v>
      </c>
      <c r="G57" t="s">
        <v>188</v>
      </c>
    </row>
    <row r="58" spans="1:7" x14ac:dyDescent="0.2">
      <c r="A58">
        <v>20</v>
      </c>
      <c r="B58">
        <v>10</v>
      </c>
      <c r="C58" t="s">
        <v>193</v>
      </c>
      <c r="D58" t="s">
        <v>191</v>
      </c>
      <c r="E58" t="s">
        <v>191</v>
      </c>
      <c r="F58" t="s">
        <v>197</v>
      </c>
      <c r="G58" t="s">
        <v>191</v>
      </c>
    </row>
    <row r="59" spans="1:7" x14ac:dyDescent="0.2">
      <c r="A59">
        <v>13</v>
      </c>
      <c r="B59">
        <v>10</v>
      </c>
      <c r="C59" t="s">
        <v>193</v>
      </c>
      <c r="D59" t="s">
        <v>47</v>
      </c>
      <c r="E59" t="s">
        <v>47</v>
      </c>
      <c r="F59" t="s">
        <v>197</v>
      </c>
      <c r="G59" t="s">
        <v>198</v>
      </c>
    </row>
    <row r="60" spans="1:7" x14ac:dyDescent="0.2">
      <c r="A60">
        <v>31</v>
      </c>
      <c r="B60">
        <v>10</v>
      </c>
      <c r="C60" t="s">
        <v>193</v>
      </c>
      <c r="D60" t="s">
        <v>47</v>
      </c>
      <c r="E60" t="s">
        <v>47</v>
      </c>
      <c r="F60" t="s">
        <v>197</v>
      </c>
      <c r="G60" t="s">
        <v>198</v>
      </c>
    </row>
    <row r="61" spans="1:7" x14ac:dyDescent="0.2">
      <c r="A61">
        <v>50</v>
      </c>
      <c r="B61">
        <v>10</v>
      </c>
      <c r="C61" t="s">
        <v>193</v>
      </c>
      <c r="D61" t="s">
        <v>47</v>
      </c>
      <c r="E61" t="s">
        <v>47</v>
      </c>
      <c r="F61" t="s">
        <v>197</v>
      </c>
      <c r="G61" t="s">
        <v>198</v>
      </c>
    </row>
    <row r="62" spans="1:7" x14ac:dyDescent="0.2">
      <c r="A62">
        <v>68</v>
      </c>
      <c r="B62">
        <v>10</v>
      </c>
      <c r="C62" t="s">
        <v>193</v>
      </c>
      <c r="D62" t="s">
        <v>47</v>
      </c>
      <c r="E62" t="s">
        <v>47</v>
      </c>
      <c r="F62" t="s">
        <v>197</v>
      </c>
      <c r="G62" t="s">
        <v>198</v>
      </c>
    </row>
    <row r="63" spans="1:7" x14ac:dyDescent="0.2">
      <c r="A63">
        <v>82</v>
      </c>
      <c r="B63">
        <v>10</v>
      </c>
      <c r="C63" t="s">
        <v>193</v>
      </c>
      <c r="D63" t="s">
        <v>47</v>
      </c>
      <c r="E63" t="s">
        <v>47</v>
      </c>
      <c r="F63" t="s">
        <v>197</v>
      </c>
      <c r="G63" t="s">
        <v>198</v>
      </c>
    </row>
    <row r="64" spans="1:7" x14ac:dyDescent="0.2">
      <c r="A64">
        <v>86</v>
      </c>
      <c r="B64">
        <v>10</v>
      </c>
      <c r="C64" t="s">
        <v>193</v>
      </c>
      <c r="D64" t="s">
        <v>47</v>
      </c>
      <c r="E64" t="s">
        <v>47</v>
      </c>
      <c r="F64" t="s">
        <v>197</v>
      </c>
      <c r="G64" t="s">
        <v>198</v>
      </c>
    </row>
    <row r="65" spans="1:7" x14ac:dyDescent="0.2">
      <c r="A65">
        <v>100</v>
      </c>
      <c r="B65">
        <v>10</v>
      </c>
      <c r="C65" t="s">
        <v>193</v>
      </c>
      <c r="D65" t="s">
        <v>47</v>
      </c>
      <c r="E65" t="s">
        <v>47</v>
      </c>
      <c r="F65" t="s">
        <v>197</v>
      </c>
      <c r="G65" t="s">
        <v>198</v>
      </c>
    </row>
    <row r="66" spans="1:7" x14ac:dyDescent="0.2">
      <c r="A66">
        <v>65</v>
      </c>
      <c r="B66">
        <v>11</v>
      </c>
      <c r="C66" t="s">
        <v>43</v>
      </c>
      <c r="D66" t="s">
        <v>47</v>
      </c>
      <c r="E66" t="s">
        <v>44</v>
      </c>
      <c r="F66" t="s">
        <v>194</v>
      </c>
      <c r="G66" t="s">
        <v>50</v>
      </c>
    </row>
    <row r="67" spans="1:7" x14ac:dyDescent="0.2">
      <c r="A67">
        <v>26</v>
      </c>
      <c r="B67">
        <v>13</v>
      </c>
      <c r="C67" t="s">
        <v>195</v>
      </c>
      <c r="D67" t="s">
        <v>42</v>
      </c>
      <c r="E67" t="s">
        <v>188</v>
      </c>
      <c r="F67" t="s">
        <v>42</v>
      </c>
      <c r="G67" t="s">
        <v>188</v>
      </c>
    </row>
    <row r="68" spans="1:7" x14ac:dyDescent="0.2">
      <c r="A68">
        <v>8</v>
      </c>
      <c r="B68">
        <v>13</v>
      </c>
      <c r="C68" t="s">
        <v>195</v>
      </c>
      <c r="D68" t="s">
        <v>42</v>
      </c>
      <c r="E68" t="s">
        <v>188</v>
      </c>
      <c r="F68" t="s">
        <v>191</v>
      </c>
      <c r="G68" t="s">
        <v>196</v>
      </c>
    </row>
    <row r="69" spans="1:7" x14ac:dyDescent="0.2">
      <c r="A69">
        <v>32</v>
      </c>
      <c r="B69">
        <v>13</v>
      </c>
      <c r="C69" t="s">
        <v>188</v>
      </c>
      <c r="D69" t="s">
        <v>42</v>
      </c>
      <c r="E69" t="s">
        <v>190</v>
      </c>
      <c r="F69" t="s">
        <v>189</v>
      </c>
      <c r="G69" t="s">
        <v>196</v>
      </c>
    </row>
    <row r="70" spans="1:7" x14ac:dyDescent="0.2">
      <c r="A70">
        <v>73</v>
      </c>
      <c r="B70">
        <v>13</v>
      </c>
      <c r="C70" t="s">
        <v>188</v>
      </c>
      <c r="D70" t="s">
        <v>42</v>
      </c>
      <c r="E70" t="s">
        <v>190</v>
      </c>
      <c r="F70" t="s">
        <v>190</v>
      </c>
      <c r="G70" t="s">
        <v>188</v>
      </c>
    </row>
  </sheetData>
  <autoFilter ref="A3:G3" xr:uid="{1F839B9C-350D-417B-8859-C94C2B1CAE7F}">
    <sortState ref="A4:G70">
      <sortCondition ref="B3"/>
    </sortState>
  </autoFilter>
  <phoneticPr fontId="5" type="noConversion"/>
  <conditionalFormatting sqref="C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E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G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G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FC31-E87C-4CC1-832E-FB3B95FA64F9}">
  <dimension ref="A1:M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RowHeight="14.25" x14ac:dyDescent="0.2"/>
  <sheetData>
    <row r="1" spans="1:13" x14ac:dyDescent="0.2">
      <c r="A1" t="s">
        <v>200</v>
      </c>
      <c r="B1" t="s">
        <v>201</v>
      </c>
      <c r="C1" t="s">
        <v>23</v>
      </c>
      <c r="D1" t="s">
        <v>22</v>
      </c>
      <c r="E1" t="s">
        <v>24</v>
      </c>
      <c r="F1" t="s">
        <v>26</v>
      </c>
      <c r="G1" t="s">
        <v>30</v>
      </c>
      <c r="H1" t="s">
        <v>28</v>
      </c>
      <c r="I1" t="s">
        <v>25</v>
      </c>
      <c r="J1" t="s">
        <v>205</v>
      </c>
      <c r="K1" t="s">
        <v>206</v>
      </c>
      <c r="L1" t="s">
        <v>207</v>
      </c>
      <c r="M1" t="s">
        <v>308</v>
      </c>
    </row>
    <row r="2" spans="1:13" x14ac:dyDescent="0.2">
      <c r="A2" s="57">
        <v>1</v>
      </c>
      <c r="B2" s="57" t="s">
        <v>23</v>
      </c>
      <c r="C2">
        <v>9.1450294411585293</v>
      </c>
      <c r="D2">
        <v>4.2410458445779398</v>
      </c>
      <c r="E2">
        <v>-8.7167729223530799</v>
      </c>
      <c r="F2">
        <v>2.5492580577288302</v>
      </c>
      <c r="G2">
        <v>3.8093354652823699</v>
      </c>
      <c r="H2">
        <v>0.32825809860284599</v>
      </c>
      <c r="I2">
        <v>-1.92606079495218</v>
      </c>
      <c r="J2">
        <v>9.1450294411585293</v>
      </c>
      <c r="K2" t="s">
        <v>23</v>
      </c>
      <c r="L2">
        <f t="shared" ref="L2:L33" si="0">IF(K2=B2,1,0)</f>
        <v>1</v>
      </c>
    </row>
    <row r="3" spans="1:13" x14ac:dyDescent="0.2">
      <c r="A3" s="57">
        <v>9</v>
      </c>
      <c r="B3" s="57" t="s">
        <v>23</v>
      </c>
      <c r="C3">
        <v>9.1450294411585293</v>
      </c>
      <c r="D3">
        <v>4.2410458445779398</v>
      </c>
      <c r="E3">
        <v>-8.7167729223530799</v>
      </c>
      <c r="F3">
        <v>2.5492580577288302</v>
      </c>
      <c r="G3">
        <v>3.8093354652823699</v>
      </c>
      <c r="H3">
        <v>0.32825809860284599</v>
      </c>
      <c r="I3">
        <v>-1.92606079495218</v>
      </c>
      <c r="J3">
        <v>9.1450294411585293</v>
      </c>
      <c r="K3" t="s">
        <v>23</v>
      </c>
      <c r="L3">
        <f t="shared" si="0"/>
        <v>1</v>
      </c>
    </row>
    <row r="4" spans="1:13" x14ac:dyDescent="0.2">
      <c r="A4" s="57">
        <v>12</v>
      </c>
      <c r="B4" s="57" t="s">
        <v>23</v>
      </c>
      <c r="C4">
        <v>10.650871243987201</v>
      </c>
      <c r="D4">
        <v>2.0519580973346701</v>
      </c>
      <c r="E4">
        <v>-3.9120834373384201</v>
      </c>
      <c r="F4">
        <v>1.7213675085147</v>
      </c>
      <c r="G4">
        <v>2.66748562126998</v>
      </c>
      <c r="H4">
        <v>-1.0051960737900101</v>
      </c>
      <c r="I4">
        <v>-6.5919385344928099</v>
      </c>
      <c r="J4">
        <v>10.650871243987201</v>
      </c>
      <c r="K4" t="s">
        <v>23</v>
      </c>
      <c r="L4">
        <f t="shared" si="0"/>
        <v>1</v>
      </c>
    </row>
    <row r="5" spans="1:13" x14ac:dyDescent="0.2">
      <c r="A5" s="57">
        <v>15</v>
      </c>
      <c r="B5" s="57" t="s">
        <v>23</v>
      </c>
      <c r="C5">
        <v>10.128601212235001</v>
      </c>
      <c r="D5">
        <v>4.2952478972641401</v>
      </c>
      <c r="E5">
        <v>-9.1504802769054301</v>
      </c>
      <c r="F5">
        <v>5.9955246905531601</v>
      </c>
      <c r="G5">
        <v>4.1600402027720698</v>
      </c>
      <c r="H5">
        <v>-1.4157438015757799</v>
      </c>
      <c r="I5">
        <v>-4.4599959378191398</v>
      </c>
      <c r="J5">
        <v>10.128601212235001</v>
      </c>
      <c r="K5" t="s">
        <v>23</v>
      </c>
      <c r="L5">
        <f t="shared" si="0"/>
        <v>1</v>
      </c>
    </row>
    <row r="6" spans="1:13" x14ac:dyDescent="0.2">
      <c r="A6" s="57">
        <v>16</v>
      </c>
      <c r="B6" s="57" t="s">
        <v>23</v>
      </c>
      <c r="C6">
        <v>8.4448318300134808</v>
      </c>
      <c r="D6">
        <v>4.6309630332790004</v>
      </c>
      <c r="E6">
        <v>-5.2476727983917897</v>
      </c>
      <c r="F6">
        <v>-0.50642774667562795</v>
      </c>
      <c r="G6">
        <v>3.6673021385068498</v>
      </c>
      <c r="H6">
        <v>-3.4049461509038901</v>
      </c>
      <c r="I6">
        <v>-3.2412504481273698</v>
      </c>
      <c r="J6">
        <v>8.4448318300134808</v>
      </c>
      <c r="K6" t="s">
        <v>23</v>
      </c>
      <c r="L6">
        <f t="shared" si="0"/>
        <v>1</v>
      </c>
    </row>
    <row r="7" spans="1:13" x14ac:dyDescent="0.2">
      <c r="A7" s="57">
        <v>19</v>
      </c>
      <c r="B7" s="57" t="s">
        <v>23</v>
      </c>
      <c r="C7">
        <v>9.1450294411585293</v>
      </c>
      <c r="D7">
        <v>4.2410458445779398</v>
      </c>
      <c r="E7">
        <v>-8.7167729223530799</v>
      </c>
      <c r="F7">
        <v>2.5492580577288302</v>
      </c>
      <c r="G7">
        <v>3.8093354652823699</v>
      </c>
      <c r="H7">
        <v>0.32825809860284599</v>
      </c>
      <c r="I7">
        <v>-1.92606079495218</v>
      </c>
      <c r="J7">
        <v>9.1450294411585293</v>
      </c>
      <c r="K7" t="s">
        <v>23</v>
      </c>
      <c r="L7">
        <f t="shared" si="0"/>
        <v>1</v>
      </c>
    </row>
    <row r="8" spans="1:13" x14ac:dyDescent="0.2">
      <c r="A8" s="48">
        <v>21</v>
      </c>
      <c r="B8" s="57" t="s">
        <v>23</v>
      </c>
      <c r="C8">
        <v>8.6334930605105296</v>
      </c>
      <c r="D8">
        <v>6.4074688527288597</v>
      </c>
      <c r="E8">
        <v>-12.0277794055251</v>
      </c>
      <c r="F8">
        <v>9.4002561331503003</v>
      </c>
      <c r="G8">
        <v>2.8614703964679098</v>
      </c>
      <c r="H8">
        <v>-0.33245294927307101</v>
      </c>
      <c r="I8">
        <v>-4.0444420582414899</v>
      </c>
      <c r="J8">
        <v>9.4002561331503003</v>
      </c>
      <c r="K8" t="s">
        <v>26</v>
      </c>
      <c r="L8">
        <f t="shared" si="0"/>
        <v>0</v>
      </c>
    </row>
    <row r="9" spans="1:13" x14ac:dyDescent="0.2">
      <c r="A9" s="57">
        <v>23</v>
      </c>
      <c r="B9" s="57" t="s">
        <v>23</v>
      </c>
      <c r="C9">
        <v>8.8959625692994599</v>
      </c>
      <c r="D9">
        <v>0.97224512873336799</v>
      </c>
      <c r="E9">
        <v>-9.9074505039305798</v>
      </c>
      <c r="F9">
        <v>-1.3998887854981601</v>
      </c>
      <c r="G9">
        <v>4.3169477154191496</v>
      </c>
      <c r="H9">
        <v>-7.9666180276411103</v>
      </c>
      <c r="I9">
        <v>-7.6973603287227501</v>
      </c>
      <c r="J9">
        <v>8.8959625692994599</v>
      </c>
      <c r="K9" t="s">
        <v>23</v>
      </c>
      <c r="L9">
        <f t="shared" si="0"/>
        <v>1</v>
      </c>
    </row>
    <row r="10" spans="1:13" x14ac:dyDescent="0.2">
      <c r="A10" s="57">
        <v>25</v>
      </c>
      <c r="B10" s="57" t="s">
        <v>23</v>
      </c>
      <c r="C10">
        <v>10.650871243987201</v>
      </c>
      <c r="D10">
        <v>2.0519580973346701</v>
      </c>
      <c r="E10">
        <v>-3.9120834373384201</v>
      </c>
      <c r="F10">
        <v>1.7213675085147</v>
      </c>
      <c r="G10">
        <v>2.66748562126998</v>
      </c>
      <c r="H10">
        <v>-1.0051960737900101</v>
      </c>
      <c r="I10">
        <v>-6.5919385344928099</v>
      </c>
      <c r="J10">
        <v>10.650871243987201</v>
      </c>
      <c r="K10" t="s">
        <v>23</v>
      </c>
      <c r="L10">
        <f t="shared" si="0"/>
        <v>1</v>
      </c>
    </row>
    <row r="11" spans="1:13" x14ac:dyDescent="0.2">
      <c r="A11" s="57">
        <v>27</v>
      </c>
      <c r="B11" s="57" t="s">
        <v>23</v>
      </c>
      <c r="C11">
        <v>9.1450294411585293</v>
      </c>
      <c r="D11">
        <v>4.2410458445779398</v>
      </c>
      <c r="E11">
        <v>-8.7167729223530799</v>
      </c>
      <c r="F11">
        <v>2.5492580577288302</v>
      </c>
      <c r="G11">
        <v>3.8093354652823699</v>
      </c>
      <c r="H11">
        <v>0.32825809860284599</v>
      </c>
      <c r="I11">
        <v>-1.92606079495218</v>
      </c>
      <c r="J11">
        <v>9.1450294411585293</v>
      </c>
      <c r="K11" t="s">
        <v>23</v>
      </c>
      <c r="L11">
        <f t="shared" si="0"/>
        <v>1</v>
      </c>
    </row>
    <row r="12" spans="1:13" x14ac:dyDescent="0.2">
      <c r="A12" s="57">
        <v>30</v>
      </c>
      <c r="B12" s="57" t="s">
        <v>23</v>
      </c>
      <c r="C12">
        <v>9.1450294411585293</v>
      </c>
      <c r="D12">
        <v>4.2410458445779398</v>
      </c>
      <c r="E12">
        <v>-8.7167729223530799</v>
      </c>
      <c r="F12">
        <v>2.5492580577288302</v>
      </c>
      <c r="G12">
        <v>3.8093354652823699</v>
      </c>
      <c r="H12">
        <v>0.32825809860284599</v>
      </c>
      <c r="I12">
        <v>-1.92606079495218</v>
      </c>
      <c r="J12">
        <v>9.1450294411585293</v>
      </c>
      <c r="K12" t="s">
        <v>23</v>
      </c>
      <c r="L12">
        <f t="shared" si="0"/>
        <v>1</v>
      </c>
    </row>
    <row r="13" spans="1:13" x14ac:dyDescent="0.2">
      <c r="A13" s="57">
        <v>33</v>
      </c>
      <c r="B13" s="57" t="s">
        <v>23</v>
      </c>
      <c r="C13">
        <v>10.128601212235001</v>
      </c>
      <c r="D13">
        <v>4.2952478972641401</v>
      </c>
      <c r="E13">
        <v>-9.1504802769054301</v>
      </c>
      <c r="F13">
        <v>5.9955246905531601</v>
      </c>
      <c r="G13">
        <v>4.1600402027720698</v>
      </c>
      <c r="H13">
        <v>-1.4157438015757799</v>
      </c>
      <c r="I13">
        <v>-4.4599959378191398</v>
      </c>
      <c r="J13">
        <v>10.128601212235001</v>
      </c>
      <c r="K13" t="s">
        <v>23</v>
      </c>
      <c r="L13">
        <f t="shared" si="0"/>
        <v>1</v>
      </c>
    </row>
    <row r="14" spans="1:13" x14ac:dyDescent="0.2">
      <c r="A14" s="57">
        <v>38</v>
      </c>
      <c r="B14" s="57" t="s">
        <v>23</v>
      </c>
      <c r="C14">
        <v>9.1450294411585293</v>
      </c>
      <c r="D14">
        <v>4.2410458445779398</v>
      </c>
      <c r="E14">
        <v>-8.7167729223530799</v>
      </c>
      <c r="F14">
        <v>2.5492580577288302</v>
      </c>
      <c r="G14">
        <v>3.8093354652823699</v>
      </c>
      <c r="H14">
        <v>0.32825809860284599</v>
      </c>
      <c r="I14">
        <v>-1.92606079495218</v>
      </c>
      <c r="J14">
        <v>9.1450294411585293</v>
      </c>
      <c r="K14" t="s">
        <v>23</v>
      </c>
      <c r="L14">
        <f t="shared" si="0"/>
        <v>1</v>
      </c>
    </row>
    <row r="15" spans="1:13" x14ac:dyDescent="0.2">
      <c r="A15" s="57">
        <v>41</v>
      </c>
      <c r="B15" s="57" t="s">
        <v>23</v>
      </c>
      <c r="C15">
        <v>8.9949603030052607</v>
      </c>
      <c r="D15">
        <v>5.4073493695334003</v>
      </c>
      <c r="E15">
        <v>-6.88243383007429</v>
      </c>
      <c r="F15">
        <v>0.33316305932011298</v>
      </c>
      <c r="G15">
        <v>3.4919281293363902</v>
      </c>
      <c r="H15">
        <v>0.52906682134418404</v>
      </c>
      <c r="I15">
        <v>-4.1155957776581298</v>
      </c>
      <c r="J15">
        <v>8.9949603030052607</v>
      </c>
      <c r="K15" t="s">
        <v>23</v>
      </c>
      <c r="L15">
        <f t="shared" si="0"/>
        <v>1</v>
      </c>
    </row>
    <row r="16" spans="1:13" x14ac:dyDescent="0.2">
      <c r="A16" s="57">
        <v>49</v>
      </c>
      <c r="B16" s="57" t="s">
        <v>23</v>
      </c>
      <c r="C16">
        <v>10.650871243987201</v>
      </c>
      <c r="D16">
        <v>2.0519580973346701</v>
      </c>
      <c r="E16">
        <v>-3.9120834373384201</v>
      </c>
      <c r="F16">
        <v>1.7213675085147</v>
      </c>
      <c r="G16">
        <v>2.66748562126998</v>
      </c>
      <c r="H16">
        <v>-1.0051960737900101</v>
      </c>
      <c r="I16">
        <v>-6.5919385344928099</v>
      </c>
      <c r="J16">
        <v>10.650871243987201</v>
      </c>
      <c r="K16" t="s">
        <v>23</v>
      </c>
      <c r="L16">
        <f t="shared" si="0"/>
        <v>1</v>
      </c>
    </row>
    <row r="17" spans="1:12" x14ac:dyDescent="0.2">
      <c r="A17" s="57">
        <v>52</v>
      </c>
      <c r="B17" s="57" t="s">
        <v>23</v>
      </c>
      <c r="C17">
        <v>10.128601212235001</v>
      </c>
      <c r="D17">
        <v>4.2952478972641401</v>
      </c>
      <c r="E17">
        <v>-9.1504802769054301</v>
      </c>
      <c r="F17">
        <v>5.9955246905531601</v>
      </c>
      <c r="G17">
        <v>4.1600402027720698</v>
      </c>
      <c r="H17">
        <v>-1.4157438015757799</v>
      </c>
      <c r="I17">
        <v>-4.4599959378191398</v>
      </c>
      <c r="J17">
        <v>10.128601212235001</v>
      </c>
      <c r="K17" t="s">
        <v>23</v>
      </c>
      <c r="L17">
        <f t="shared" si="0"/>
        <v>1</v>
      </c>
    </row>
    <row r="18" spans="1:12" x14ac:dyDescent="0.2">
      <c r="A18" s="57">
        <v>56</v>
      </c>
      <c r="B18" s="57" t="s">
        <v>23</v>
      </c>
      <c r="C18">
        <v>9.1450294411585293</v>
      </c>
      <c r="D18">
        <v>4.2410458445779398</v>
      </c>
      <c r="E18">
        <v>-8.7167729223530799</v>
      </c>
      <c r="F18">
        <v>2.5492580577288302</v>
      </c>
      <c r="G18">
        <v>3.8093354652823699</v>
      </c>
      <c r="H18">
        <v>0.32825809860284599</v>
      </c>
      <c r="I18">
        <v>-1.92606079495218</v>
      </c>
      <c r="J18">
        <v>9.1450294411585293</v>
      </c>
      <c r="K18" t="s">
        <v>23</v>
      </c>
      <c r="L18">
        <f t="shared" si="0"/>
        <v>1</v>
      </c>
    </row>
    <row r="19" spans="1:12" x14ac:dyDescent="0.2">
      <c r="A19" s="57">
        <v>60</v>
      </c>
      <c r="B19" s="57" t="s">
        <v>23</v>
      </c>
      <c r="C19">
        <v>9.8573312636966399</v>
      </c>
      <c r="D19">
        <v>3.6668099374529102</v>
      </c>
      <c r="E19">
        <v>-7.1493468395891604</v>
      </c>
      <c r="F19">
        <v>0.158351701215598</v>
      </c>
      <c r="G19">
        <v>3.3204638237267399</v>
      </c>
      <c r="H19">
        <v>3.1455529744508199</v>
      </c>
      <c r="I19">
        <v>-4.7314678636632204</v>
      </c>
      <c r="J19">
        <v>9.8573312636966399</v>
      </c>
      <c r="K19" t="s">
        <v>23</v>
      </c>
      <c r="L19">
        <f t="shared" si="0"/>
        <v>1</v>
      </c>
    </row>
    <row r="20" spans="1:12" x14ac:dyDescent="0.2">
      <c r="A20" s="57">
        <v>64</v>
      </c>
      <c r="B20" s="57" t="s">
        <v>23</v>
      </c>
      <c r="C20">
        <v>9.1450294411585293</v>
      </c>
      <c r="D20">
        <v>4.2410458445779398</v>
      </c>
      <c r="E20">
        <v>-8.7167729223530799</v>
      </c>
      <c r="F20">
        <v>2.5492580577288302</v>
      </c>
      <c r="G20">
        <v>3.8093354652823699</v>
      </c>
      <c r="H20">
        <v>0.32825809860284599</v>
      </c>
      <c r="I20">
        <v>-1.92606079495218</v>
      </c>
      <c r="J20">
        <v>9.1450294411585293</v>
      </c>
      <c r="K20" t="s">
        <v>23</v>
      </c>
      <c r="L20">
        <f t="shared" si="0"/>
        <v>1</v>
      </c>
    </row>
    <row r="21" spans="1:12" x14ac:dyDescent="0.2">
      <c r="A21" s="57">
        <v>67</v>
      </c>
      <c r="B21" s="57" t="s">
        <v>23</v>
      </c>
      <c r="C21">
        <v>9.5119789248086395</v>
      </c>
      <c r="D21">
        <v>1.91710939186278</v>
      </c>
      <c r="E21">
        <v>-3.93317563883621</v>
      </c>
      <c r="F21">
        <v>2.1323480448127401</v>
      </c>
      <c r="G21">
        <v>4.2952640089545904</v>
      </c>
      <c r="H21">
        <v>-1.0241819405281001</v>
      </c>
      <c r="I21">
        <v>-3.6334615219434498</v>
      </c>
      <c r="J21">
        <v>9.5119789248086395</v>
      </c>
      <c r="K21" t="s">
        <v>23</v>
      </c>
      <c r="L21">
        <f t="shared" si="0"/>
        <v>1</v>
      </c>
    </row>
    <row r="22" spans="1:12" x14ac:dyDescent="0.2">
      <c r="A22" s="57">
        <v>70</v>
      </c>
      <c r="B22" s="57" t="s">
        <v>23</v>
      </c>
      <c r="C22">
        <v>10.128601212235001</v>
      </c>
      <c r="D22">
        <v>4.2952478972641401</v>
      </c>
      <c r="E22">
        <v>-9.1504802769054301</v>
      </c>
      <c r="F22">
        <v>5.9955246905531601</v>
      </c>
      <c r="G22">
        <v>4.1600402027720698</v>
      </c>
      <c r="H22">
        <v>-1.4157438015757799</v>
      </c>
      <c r="I22">
        <v>-4.4599959378191398</v>
      </c>
      <c r="J22">
        <v>10.128601212235001</v>
      </c>
      <c r="K22" t="s">
        <v>23</v>
      </c>
      <c r="L22">
        <f t="shared" si="0"/>
        <v>1</v>
      </c>
    </row>
    <row r="23" spans="1:12" x14ac:dyDescent="0.2">
      <c r="A23" s="57">
        <v>71</v>
      </c>
      <c r="B23" s="57" t="s">
        <v>23</v>
      </c>
      <c r="C23">
        <v>8.4436776739807708</v>
      </c>
      <c r="D23">
        <v>2.67227368406569</v>
      </c>
      <c r="E23">
        <v>-5.2167702706159398</v>
      </c>
      <c r="F23">
        <v>-1.8701640879767401</v>
      </c>
      <c r="G23">
        <v>1.0021683086214399</v>
      </c>
      <c r="H23">
        <v>-3.4049461509038901</v>
      </c>
      <c r="I23">
        <v>-5.6520659962048798</v>
      </c>
      <c r="J23">
        <v>8.4436776739807708</v>
      </c>
      <c r="K23" t="s">
        <v>23</v>
      </c>
      <c r="L23">
        <f t="shared" si="0"/>
        <v>1</v>
      </c>
    </row>
    <row r="24" spans="1:12" x14ac:dyDescent="0.2">
      <c r="A24" s="57">
        <v>81</v>
      </c>
      <c r="B24" s="57" t="s">
        <v>23</v>
      </c>
      <c r="C24">
        <v>9.1450294411585293</v>
      </c>
      <c r="D24">
        <v>4.2410458445779398</v>
      </c>
      <c r="E24">
        <v>-8.7167729223530799</v>
      </c>
      <c r="F24">
        <v>2.5492580577288302</v>
      </c>
      <c r="G24">
        <v>3.8093354652823699</v>
      </c>
      <c r="H24">
        <v>0.32825809860284599</v>
      </c>
      <c r="I24">
        <v>-1.92606079495218</v>
      </c>
      <c r="J24">
        <v>9.1450294411585293</v>
      </c>
      <c r="K24" t="s">
        <v>23</v>
      </c>
      <c r="L24">
        <f t="shared" si="0"/>
        <v>1</v>
      </c>
    </row>
    <row r="25" spans="1:12" x14ac:dyDescent="0.2">
      <c r="A25" s="57">
        <v>85</v>
      </c>
      <c r="B25" s="57" t="s">
        <v>23</v>
      </c>
      <c r="C25">
        <v>10.128601212235001</v>
      </c>
      <c r="D25">
        <v>4.2952478972641401</v>
      </c>
      <c r="E25">
        <v>-9.1504802769054301</v>
      </c>
      <c r="F25">
        <v>5.9955246905531601</v>
      </c>
      <c r="G25">
        <v>4.1600402027720698</v>
      </c>
      <c r="H25">
        <v>-1.4157438015757799</v>
      </c>
      <c r="I25">
        <v>-4.4599959378191398</v>
      </c>
      <c r="J25">
        <v>10.128601212235001</v>
      </c>
      <c r="K25" t="s">
        <v>23</v>
      </c>
      <c r="L25">
        <f t="shared" si="0"/>
        <v>1</v>
      </c>
    </row>
    <row r="26" spans="1:12" x14ac:dyDescent="0.2">
      <c r="A26" s="57">
        <v>88</v>
      </c>
      <c r="B26" s="57" t="s">
        <v>23</v>
      </c>
      <c r="C26">
        <v>9.1450294411585293</v>
      </c>
      <c r="D26">
        <v>4.2410458445779398</v>
      </c>
      <c r="E26">
        <v>-8.7167729223530799</v>
      </c>
      <c r="F26">
        <v>2.5492580577288302</v>
      </c>
      <c r="G26">
        <v>3.8093354652823699</v>
      </c>
      <c r="H26">
        <v>0.32825809860284599</v>
      </c>
      <c r="I26">
        <v>-1.92606079495218</v>
      </c>
      <c r="J26">
        <v>9.1450294411585293</v>
      </c>
      <c r="K26" t="s">
        <v>23</v>
      </c>
      <c r="L26">
        <f t="shared" si="0"/>
        <v>1</v>
      </c>
    </row>
    <row r="27" spans="1:12" x14ac:dyDescent="0.2">
      <c r="A27" s="57">
        <v>90</v>
      </c>
      <c r="B27" s="57" t="s">
        <v>23</v>
      </c>
      <c r="C27">
        <v>10.128601212235001</v>
      </c>
      <c r="D27">
        <v>4.2952478972641401</v>
      </c>
      <c r="E27">
        <v>-9.1504802769054301</v>
      </c>
      <c r="F27">
        <v>5.9955246905531601</v>
      </c>
      <c r="G27">
        <v>4.1600402027720698</v>
      </c>
      <c r="H27">
        <v>-1.4157438015757799</v>
      </c>
      <c r="I27">
        <v>-4.4599959378191398</v>
      </c>
      <c r="J27">
        <v>10.128601212235001</v>
      </c>
      <c r="K27" t="s">
        <v>23</v>
      </c>
      <c r="L27">
        <f t="shared" si="0"/>
        <v>1</v>
      </c>
    </row>
    <row r="28" spans="1:12" x14ac:dyDescent="0.2">
      <c r="A28" s="57">
        <v>99</v>
      </c>
      <c r="B28" s="57" t="s">
        <v>23</v>
      </c>
      <c r="C28">
        <v>10.128601212235001</v>
      </c>
      <c r="D28">
        <v>4.2952478972641401</v>
      </c>
      <c r="E28">
        <v>-9.1504802769054301</v>
      </c>
      <c r="F28">
        <v>5.9955246905531601</v>
      </c>
      <c r="G28">
        <v>4.1600402027720698</v>
      </c>
      <c r="H28">
        <v>-1.4157438015757799</v>
      </c>
      <c r="I28">
        <v>-4.4599959378191398</v>
      </c>
      <c r="J28">
        <v>10.128601212235001</v>
      </c>
      <c r="K28" t="s">
        <v>23</v>
      </c>
      <c r="L28">
        <f t="shared" si="0"/>
        <v>1</v>
      </c>
    </row>
    <row r="29" spans="1:12" x14ac:dyDescent="0.2">
      <c r="A29" s="57">
        <v>102</v>
      </c>
      <c r="B29" s="57" t="s">
        <v>23</v>
      </c>
      <c r="C29">
        <v>10.128601212235001</v>
      </c>
      <c r="D29">
        <v>4.2952478972641401</v>
      </c>
      <c r="E29">
        <v>-9.1504802769054301</v>
      </c>
      <c r="F29">
        <v>5.9955246905531601</v>
      </c>
      <c r="G29">
        <v>4.1600402027720698</v>
      </c>
      <c r="H29">
        <v>-1.4157438015757799</v>
      </c>
      <c r="I29">
        <v>-4.4599959378191398</v>
      </c>
      <c r="J29">
        <v>10.128601212235001</v>
      </c>
      <c r="K29" t="s">
        <v>23</v>
      </c>
      <c r="L29">
        <f t="shared" si="0"/>
        <v>1</v>
      </c>
    </row>
    <row r="30" spans="1:12" x14ac:dyDescent="0.2">
      <c r="A30" s="57">
        <v>3</v>
      </c>
      <c r="B30" s="57" t="s">
        <v>22</v>
      </c>
      <c r="C30">
        <v>-1.3097487116515201</v>
      </c>
      <c r="D30">
        <v>8.3916794772154901</v>
      </c>
      <c r="E30">
        <v>-10.241330851222401</v>
      </c>
      <c r="F30">
        <v>3.67903254424898</v>
      </c>
      <c r="G30">
        <v>2.5819915131469</v>
      </c>
      <c r="H30">
        <v>-2.9116454355727299</v>
      </c>
      <c r="I30">
        <v>-2.1174054382252798</v>
      </c>
      <c r="J30">
        <v>8.3916794772154901</v>
      </c>
      <c r="K30" t="s">
        <v>22</v>
      </c>
      <c r="L30">
        <f t="shared" si="0"/>
        <v>1</v>
      </c>
    </row>
    <row r="31" spans="1:12" x14ac:dyDescent="0.2">
      <c r="A31" s="57">
        <v>22</v>
      </c>
      <c r="B31" s="57" t="s">
        <v>22</v>
      </c>
      <c r="C31">
        <v>7.3900486317187397</v>
      </c>
      <c r="D31">
        <v>7.5513384697984902</v>
      </c>
      <c r="E31">
        <v>-4.9265000283890803</v>
      </c>
      <c r="F31">
        <v>0.40531223831497099</v>
      </c>
      <c r="G31">
        <v>4.3166447494605702</v>
      </c>
      <c r="H31">
        <v>-3.4049461509038901</v>
      </c>
      <c r="I31">
        <v>-2.0310601400280799</v>
      </c>
      <c r="J31">
        <v>7.5513384697984902</v>
      </c>
      <c r="K31" t="s">
        <v>22</v>
      </c>
      <c r="L31">
        <f t="shared" si="0"/>
        <v>1</v>
      </c>
    </row>
    <row r="32" spans="1:12" x14ac:dyDescent="0.2">
      <c r="A32" s="57">
        <v>40</v>
      </c>
      <c r="B32" s="57" t="s">
        <v>22</v>
      </c>
      <c r="C32">
        <v>-1.3097487116515201</v>
      </c>
      <c r="D32">
        <v>8.3916794772154901</v>
      </c>
      <c r="E32">
        <v>-10.241330851222401</v>
      </c>
      <c r="F32">
        <v>3.67903254424898</v>
      </c>
      <c r="G32">
        <v>2.5819915131469</v>
      </c>
      <c r="H32">
        <v>-2.9116454355727299</v>
      </c>
      <c r="I32">
        <v>-2.1174054382252798</v>
      </c>
      <c r="J32">
        <v>8.3916794772154901</v>
      </c>
      <c r="K32" t="s">
        <v>22</v>
      </c>
      <c r="L32">
        <f t="shared" si="0"/>
        <v>1</v>
      </c>
    </row>
    <row r="33" spans="1:12" x14ac:dyDescent="0.2">
      <c r="A33" s="57">
        <v>58</v>
      </c>
      <c r="B33" s="57" t="s">
        <v>22</v>
      </c>
      <c r="C33">
        <v>-1.3097487116515201</v>
      </c>
      <c r="D33">
        <v>8.3916794772154901</v>
      </c>
      <c r="E33">
        <v>-10.241330851222401</v>
      </c>
      <c r="F33">
        <v>3.67903254424898</v>
      </c>
      <c r="G33">
        <v>2.5819915131469</v>
      </c>
      <c r="H33">
        <v>-2.9116454355727299</v>
      </c>
      <c r="I33">
        <v>-2.1174054382252798</v>
      </c>
      <c r="J33">
        <v>8.3916794772154901</v>
      </c>
      <c r="K33" t="s">
        <v>22</v>
      </c>
      <c r="L33">
        <f t="shared" si="0"/>
        <v>1</v>
      </c>
    </row>
    <row r="34" spans="1:12" x14ac:dyDescent="0.2">
      <c r="A34" s="57">
        <v>63</v>
      </c>
      <c r="B34" s="57" t="s">
        <v>22</v>
      </c>
      <c r="C34">
        <v>-2.1465262623175301</v>
      </c>
      <c r="D34">
        <v>9.0950654444009107</v>
      </c>
      <c r="E34">
        <v>-10.272005113812799</v>
      </c>
      <c r="F34">
        <v>1.6594470373597501</v>
      </c>
      <c r="G34">
        <v>1.5037212395864901</v>
      </c>
      <c r="H34">
        <v>-0.256783594378447</v>
      </c>
      <c r="I34">
        <v>4.1774914067351299</v>
      </c>
      <c r="J34">
        <v>9.0950654444009107</v>
      </c>
      <c r="K34" t="s">
        <v>22</v>
      </c>
      <c r="L34">
        <f t="shared" ref="L34:L65" si="1">IF(K34=B34,1,0)</f>
        <v>1</v>
      </c>
    </row>
    <row r="35" spans="1:12" x14ac:dyDescent="0.2">
      <c r="A35" s="57">
        <v>6</v>
      </c>
      <c r="B35" s="57" t="s">
        <v>24</v>
      </c>
      <c r="C35">
        <v>-10.4493163339014</v>
      </c>
      <c r="D35">
        <v>-8.2452489031094895</v>
      </c>
      <c r="E35">
        <v>10.1676391291101</v>
      </c>
      <c r="F35">
        <v>-5.2280159998525599</v>
      </c>
      <c r="G35">
        <v>-6.8151345938723802</v>
      </c>
      <c r="H35">
        <v>-1.5462644219249999</v>
      </c>
      <c r="I35">
        <v>-2.3429419539674501</v>
      </c>
      <c r="J35">
        <v>10.1676391291101</v>
      </c>
      <c r="K35" t="s">
        <v>24</v>
      </c>
      <c r="L35">
        <f t="shared" si="1"/>
        <v>1</v>
      </c>
    </row>
    <row r="36" spans="1:12" x14ac:dyDescent="0.2">
      <c r="A36" s="57">
        <v>17</v>
      </c>
      <c r="B36" s="57" t="s">
        <v>24</v>
      </c>
      <c r="C36">
        <v>-10.094939426724901</v>
      </c>
      <c r="D36">
        <v>-0.39765152039233898</v>
      </c>
      <c r="E36">
        <v>8.6402146084696891</v>
      </c>
      <c r="F36">
        <v>-5.7647625555926201</v>
      </c>
      <c r="G36">
        <v>-4.2781625098143703</v>
      </c>
      <c r="H36">
        <v>-0.28064577035475202</v>
      </c>
      <c r="I36">
        <v>-1.3574081176353801</v>
      </c>
      <c r="J36">
        <v>8.6402146084696891</v>
      </c>
      <c r="K36" t="s">
        <v>24</v>
      </c>
      <c r="L36">
        <f t="shared" si="1"/>
        <v>1</v>
      </c>
    </row>
    <row r="37" spans="1:12" x14ac:dyDescent="0.2">
      <c r="A37" s="57">
        <v>24</v>
      </c>
      <c r="B37" s="57" t="s">
        <v>24</v>
      </c>
      <c r="C37">
        <v>-10.4493163339014</v>
      </c>
      <c r="D37">
        <v>-6.5131492370182</v>
      </c>
      <c r="E37">
        <v>8.2280510622381193</v>
      </c>
      <c r="F37">
        <v>-5.2280159998525599</v>
      </c>
      <c r="G37">
        <v>-6.2603966420949897</v>
      </c>
      <c r="H37">
        <v>-1.6446129428623999</v>
      </c>
      <c r="I37">
        <v>-2.3432737738268501</v>
      </c>
      <c r="J37">
        <v>8.2280510622381193</v>
      </c>
      <c r="K37" t="s">
        <v>24</v>
      </c>
      <c r="L37">
        <f t="shared" si="1"/>
        <v>1</v>
      </c>
    </row>
    <row r="38" spans="1:12" x14ac:dyDescent="0.2">
      <c r="A38" s="57">
        <v>35</v>
      </c>
      <c r="B38" s="57" t="s">
        <v>24</v>
      </c>
      <c r="C38">
        <v>-10.094939426724901</v>
      </c>
      <c r="D38">
        <v>-0.39765152039233898</v>
      </c>
      <c r="E38">
        <v>8.6402146084696891</v>
      </c>
      <c r="F38">
        <v>-5.7647625555926201</v>
      </c>
      <c r="G38">
        <v>-4.2781625098143703</v>
      </c>
      <c r="H38">
        <v>-0.28064577035475202</v>
      </c>
      <c r="I38">
        <v>-1.3574081176353801</v>
      </c>
      <c r="J38">
        <v>8.6402146084696891</v>
      </c>
      <c r="K38" t="s">
        <v>24</v>
      </c>
      <c r="L38">
        <f t="shared" si="1"/>
        <v>1</v>
      </c>
    </row>
    <row r="39" spans="1:12" x14ac:dyDescent="0.2">
      <c r="A39" s="57">
        <v>36</v>
      </c>
      <c r="B39" s="57" t="s">
        <v>24</v>
      </c>
      <c r="C39">
        <v>-11.7021158769927</v>
      </c>
      <c r="D39">
        <v>-4.0300402404417497</v>
      </c>
      <c r="E39">
        <v>8.8427112844088605</v>
      </c>
      <c r="F39">
        <v>-7.7290144149360396</v>
      </c>
      <c r="G39">
        <v>-2.97867454465388</v>
      </c>
      <c r="H39">
        <v>-2.02464767053337</v>
      </c>
      <c r="I39">
        <v>-2.4195346336882402</v>
      </c>
      <c r="J39">
        <v>8.8427112844088605</v>
      </c>
      <c r="K39" t="s">
        <v>24</v>
      </c>
      <c r="L39">
        <f t="shared" si="1"/>
        <v>1</v>
      </c>
    </row>
    <row r="40" spans="1:12" x14ac:dyDescent="0.2">
      <c r="A40" s="57">
        <v>43</v>
      </c>
      <c r="B40" s="57" t="s">
        <v>24</v>
      </c>
      <c r="C40">
        <v>-10.4493163339014</v>
      </c>
      <c r="D40">
        <v>-8.2452489031094895</v>
      </c>
      <c r="E40">
        <v>10.1676391291101</v>
      </c>
      <c r="F40">
        <v>-5.2280159998525599</v>
      </c>
      <c r="G40">
        <v>-6.8151345938723802</v>
      </c>
      <c r="H40">
        <v>-1.5462644219249999</v>
      </c>
      <c r="I40">
        <v>-2.3429419539674501</v>
      </c>
      <c r="J40">
        <v>10.1676391291101</v>
      </c>
      <c r="K40" t="s">
        <v>24</v>
      </c>
      <c r="L40">
        <f t="shared" si="1"/>
        <v>1</v>
      </c>
    </row>
    <row r="41" spans="1:12" x14ac:dyDescent="0.2">
      <c r="A41" s="57">
        <v>54</v>
      </c>
      <c r="B41" s="57" t="s">
        <v>24</v>
      </c>
      <c r="C41">
        <v>-10.094939426724901</v>
      </c>
      <c r="D41">
        <v>-0.39765152039233898</v>
      </c>
      <c r="E41">
        <v>8.6402146084696891</v>
      </c>
      <c r="F41">
        <v>-5.7647625555926201</v>
      </c>
      <c r="G41">
        <v>-4.2781625098143703</v>
      </c>
      <c r="H41">
        <v>-0.28064577035475202</v>
      </c>
      <c r="I41">
        <v>-1.3574081176353801</v>
      </c>
      <c r="J41">
        <v>8.6402146084696891</v>
      </c>
      <c r="K41" t="s">
        <v>24</v>
      </c>
      <c r="L41">
        <f t="shared" si="1"/>
        <v>1</v>
      </c>
    </row>
    <row r="42" spans="1:12" x14ac:dyDescent="0.2">
      <c r="A42" s="57">
        <v>61</v>
      </c>
      <c r="B42" s="57" t="s">
        <v>24</v>
      </c>
      <c r="C42">
        <v>-10.4493163339014</v>
      </c>
      <c r="D42">
        <v>-8.2452489031094895</v>
      </c>
      <c r="E42">
        <v>10.1676391291101</v>
      </c>
      <c r="F42">
        <v>-5.2280159998525599</v>
      </c>
      <c r="G42">
        <v>-6.8151345938723802</v>
      </c>
      <c r="H42">
        <v>-1.5462644219249999</v>
      </c>
      <c r="I42">
        <v>-2.3429419539674501</v>
      </c>
      <c r="J42">
        <v>10.1676391291101</v>
      </c>
      <c r="K42" t="s">
        <v>24</v>
      </c>
      <c r="L42">
        <f t="shared" si="1"/>
        <v>1</v>
      </c>
    </row>
    <row r="43" spans="1:12" x14ac:dyDescent="0.2">
      <c r="A43" s="57">
        <v>72</v>
      </c>
      <c r="B43" s="57" t="s">
        <v>24</v>
      </c>
      <c r="C43">
        <v>-10.094939426724901</v>
      </c>
      <c r="D43">
        <v>-0.39765152039233898</v>
      </c>
      <c r="E43">
        <v>8.6402146084696891</v>
      </c>
      <c r="F43">
        <v>-5.7647625555926201</v>
      </c>
      <c r="G43">
        <v>-4.2781625098143703</v>
      </c>
      <c r="H43">
        <v>-0.28064577035475202</v>
      </c>
      <c r="I43">
        <v>-1.3574081176353801</v>
      </c>
      <c r="J43">
        <v>8.6402146084696891</v>
      </c>
      <c r="K43" t="s">
        <v>24</v>
      </c>
      <c r="L43">
        <f t="shared" si="1"/>
        <v>1</v>
      </c>
    </row>
    <row r="44" spans="1:12" x14ac:dyDescent="0.2">
      <c r="A44" s="57">
        <v>10</v>
      </c>
      <c r="B44" s="57" t="s">
        <v>26</v>
      </c>
      <c r="C44">
        <v>-0.48938903055083</v>
      </c>
      <c r="D44">
        <v>1.6714472803002001</v>
      </c>
      <c r="E44">
        <v>-8.72564986821485</v>
      </c>
      <c r="F44">
        <v>10.4300807072377</v>
      </c>
      <c r="G44">
        <v>-0.47936408276824999</v>
      </c>
      <c r="H44">
        <v>-1.82772502186834E-2</v>
      </c>
      <c r="I44">
        <v>0.53211843131771097</v>
      </c>
      <c r="J44">
        <v>10.4300807072377</v>
      </c>
      <c r="K44" t="s">
        <v>26</v>
      </c>
      <c r="L44">
        <f t="shared" si="1"/>
        <v>1</v>
      </c>
    </row>
    <row r="45" spans="1:12" x14ac:dyDescent="0.2">
      <c r="A45" s="57">
        <v>28</v>
      </c>
      <c r="B45" s="57" t="s">
        <v>26</v>
      </c>
      <c r="C45">
        <v>-6.4047419163870396</v>
      </c>
      <c r="D45">
        <v>2.5651247233788701</v>
      </c>
      <c r="E45">
        <v>-3.8311915263957701</v>
      </c>
      <c r="F45">
        <v>9.7296955457372896</v>
      </c>
      <c r="G45">
        <v>-3.1632477822153802</v>
      </c>
      <c r="H45">
        <v>0.69465935813741497</v>
      </c>
      <c r="I45">
        <v>-2.9102962057474402</v>
      </c>
      <c r="J45">
        <v>9.7296955457372896</v>
      </c>
      <c r="K45" t="s">
        <v>26</v>
      </c>
      <c r="L45">
        <f t="shared" si="1"/>
        <v>1</v>
      </c>
    </row>
    <row r="46" spans="1:12" x14ac:dyDescent="0.2">
      <c r="A46" s="57">
        <v>57</v>
      </c>
      <c r="B46" s="57" t="s">
        <v>26</v>
      </c>
      <c r="C46">
        <v>2.4477216684429699</v>
      </c>
      <c r="D46">
        <v>4.4449852155580096</v>
      </c>
      <c r="E46">
        <v>-8.8643675624174492</v>
      </c>
      <c r="F46">
        <v>9.1348723803787699</v>
      </c>
      <c r="G46">
        <v>2.02850156070985</v>
      </c>
      <c r="H46">
        <v>-0.71893652377681605</v>
      </c>
      <c r="I46">
        <v>-6.2318995600885598</v>
      </c>
      <c r="J46">
        <v>9.1348723803787699</v>
      </c>
      <c r="K46" t="s">
        <v>26</v>
      </c>
      <c r="L46">
        <f t="shared" si="1"/>
        <v>1</v>
      </c>
    </row>
    <row r="47" spans="1:12" x14ac:dyDescent="0.2">
      <c r="A47" s="57">
        <v>97</v>
      </c>
      <c r="B47" s="57" t="s">
        <v>26</v>
      </c>
      <c r="C47">
        <v>1.9575227474497201</v>
      </c>
      <c r="D47">
        <v>3.9203924447899601</v>
      </c>
      <c r="E47">
        <v>-11.356467905683999</v>
      </c>
      <c r="F47">
        <v>10.6742424159577</v>
      </c>
      <c r="G47">
        <v>-4.4028021003666096</v>
      </c>
      <c r="H47">
        <v>0.119658822640711</v>
      </c>
      <c r="I47">
        <v>-0.17275351175981801</v>
      </c>
      <c r="J47">
        <v>10.6742424159577</v>
      </c>
      <c r="K47" t="s">
        <v>26</v>
      </c>
      <c r="L47">
        <f t="shared" si="1"/>
        <v>1</v>
      </c>
    </row>
    <row r="48" spans="1:12" x14ac:dyDescent="0.2">
      <c r="A48" s="57">
        <v>4</v>
      </c>
      <c r="B48" s="57" t="s">
        <v>30</v>
      </c>
      <c r="C48">
        <v>-7.2403794857378703</v>
      </c>
      <c r="D48">
        <v>-6.1959727322787597</v>
      </c>
      <c r="E48">
        <v>-8.7960559522313595</v>
      </c>
      <c r="F48">
        <v>-7.0146859629236697</v>
      </c>
      <c r="G48">
        <v>4.18505653478109</v>
      </c>
      <c r="H48">
        <v>-4.230542815003</v>
      </c>
      <c r="I48">
        <v>-7.9331688331560501</v>
      </c>
      <c r="J48">
        <v>4.18505653478109</v>
      </c>
      <c r="K48" t="s">
        <v>30</v>
      </c>
      <c r="L48">
        <f t="shared" si="1"/>
        <v>1</v>
      </c>
    </row>
    <row r="49" spans="1:12" x14ac:dyDescent="0.2">
      <c r="A49" s="57">
        <v>14</v>
      </c>
      <c r="B49" s="57" t="s">
        <v>30</v>
      </c>
      <c r="C49">
        <v>-7.14696498184031</v>
      </c>
      <c r="D49">
        <v>5.0210821992857904</v>
      </c>
      <c r="E49">
        <v>-3.7388157629276502</v>
      </c>
      <c r="F49">
        <v>-2.3464842826766401</v>
      </c>
      <c r="G49">
        <v>5.7227674710630003</v>
      </c>
      <c r="H49">
        <v>-0.47461611860226899</v>
      </c>
      <c r="I49">
        <v>4.4019459011966298</v>
      </c>
      <c r="J49">
        <v>5.7227674710630003</v>
      </c>
      <c r="K49" t="s">
        <v>30</v>
      </c>
      <c r="L49">
        <f t="shared" si="1"/>
        <v>1</v>
      </c>
    </row>
    <row r="50" spans="1:12" x14ac:dyDescent="0.2">
      <c r="A50" s="57">
        <v>29</v>
      </c>
      <c r="B50" s="57" t="s">
        <v>30</v>
      </c>
      <c r="C50">
        <v>-14.8431734177971</v>
      </c>
      <c r="D50">
        <v>-8.78883053822147</v>
      </c>
      <c r="E50">
        <v>-10.9535699626471</v>
      </c>
      <c r="F50">
        <v>-9.4462750417843004</v>
      </c>
      <c r="G50">
        <v>-0.333914382284624</v>
      </c>
      <c r="H50">
        <v>-11.7627645366506</v>
      </c>
      <c r="I50">
        <v>-10.631526659000601</v>
      </c>
      <c r="J50">
        <v>-0.333914382284624</v>
      </c>
      <c r="K50" t="s">
        <v>30</v>
      </c>
      <c r="L50">
        <f t="shared" si="1"/>
        <v>1</v>
      </c>
    </row>
    <row r="51" spans="1:12" x14ac:dyDescent="0.2">
      <c r="A51" s="48">
        <v>51</v>
      </c>
      <c r="B51" s="57" t="s">
        <v>30</v>
      </c>
      <c r="C51">
        <v>-7.8042279885685</v>
      </c>
      <c r="D51">
        <v>6.6804556083658699</v>
      </c>
      <c r="E51">
        <v>-3.6408856235521099</v>
      </c>
      <c r="F51">
        <v>-0.41376344419932898</v>
      </c>
      <c r="G51">
        <v>5.8014809124938997</v>
      </c>
      <c r="H51">
        <v>-0.553127582727445</v>
      </c>
      <c r="I51">
        <v>5.2494571029668498</v>
      </c>
      <c r="J51">
        <v>6.6804556083658699</v>
      </c>
      <c r="K51" t="s">
        <v>22</v>
      </c>
      <c r="L51">
        <f t="shared" si="1"/>
        <v>0</v>
      </c>
    </row>
    <row r="52" spans="1:12" x14ac:dyDescent="0.2">
      <c r="A52" s="57">
        <v>66</v>
      </c>
      <c r="B52" s="57" t="s">
        <v>30</v>
      </c>
      <c r="C52">
        <v>-13.8322103180264</v>
      </c>
      <c r="D52">
        <v>-8.1884674660875802</v>
      </c>
      <c r="E52">
        <v>-9.6876847683519696</v>
      </c>
      <c r="F52">
        <v>-8.5155301232942797</v>
      </c>
      <c r="G52">
        <v>1.2308326590635501</v>
      </c>
      <c r="H52">
        <v>-9.4417766071253606</v>
      </c>
      <c r="I52">
        <v>-10.2210799198677</v>
      </c>
      <c r="J52">
        <v>1.2308326590635501</v>
      </c>
      <c r="K52" t="s">
        <v>30</v>
      </c>
      <c r="L52">
        <f t="shared" si="1"/>
        <v>1</v>
      </c>
    </row>
    <row r="53" spans="1:12" x14ac:dyDescent="0.2">
      <c r="A53" s="48">
        <v>69</v>
      </c>
      <c r="B53" s="57" t="s">
        <v>30</v>
      </c>
      <c r="C53">
        <v>-7.8042279885685</v>
      </c>
      <c r="D53">
        <v>6.6804556083658699</v>
      </c>
      <c r="E53">
        <v>-3.6408856235521099</v>
      </c>
      <c r="F53">
        <v>-0.41376344419932898</v>
      </c>
      <c r="G53">
        <v>5.8014809124938997</v>
      </c>
      <c r="H53">
        <v>-0.553127582727445</v>
      </c>
      <c r="I53">
        <v>5.2494571029668498</v>
      </c>
      <c r="J53">
        <v>6.6804556083658699</v>
      </c>
      <c r="K53" t="s">
        <v>22</v>
      </c>
      <c r="L53">
        <f t="shared" si="1"/>
        <v>0</v>
      </c>
    </row>
    <row r="54" spans="1:12" x14ac:dyDescent="0.2">
      <c r="A54" s="57">
        <v>37</v>
      </c>
      <c r="B54" s="57" t="s">
        <v>142</v>
      </c>
      <c r="C54">
        <v>-13.4345754687749</v>
      </c>
      <c r="D54">
        <v>-1.74773996660664</v>
      </c>
      <c r="E54">
        <v>-10.3835950092044</v>
      </c>
      <c r="F54">
        <v>-8.7151962769791709</v>
      </c>
      <c r="G54">
        <v>-2.3776766445203501</v>
      </c>
      <c r="H54">
        <v>-2.2936237339567098</v>
      </c>
      <c r="I54">
        <v>-1.29079888759754</v>
      </c>
      <c r="J54">
        <v>-1.29079888759754</v>
      </c>
      <c r="K54" t="s">
        <v>25</v>
      </c>
      <c r="L54">
        <f t="shared" si="1"/>
        <v>0</v>
      </c>
    </row>
    <row r="55" spans="1:12" x14ac:dyDescent="0.2">
      <c r="A55" s="57">
        <v>55</v>
      </c>
      <c r="B55" s="57" t="s">
        <v>142</v>
      </c>
      <c r="C55">
        <v>-11.3413202507327</v>
      </c>
      <c r="D55">
        <v>-6.3805078549588696</v>
      </c>
      <c r="E55">
        <v>-7.8918825468725498</v>
      </c>
      <c r="F55">
        <v>-7.8907935208953104</v>
      </c>
      <c r="G55">
        <v>-1.88243755186457</v>
      </c>
      <c r="H55">
        <v>0.62364990822486199</v>
      </c>
      <c r="I55">
        <v>3.6967709921605199</v>
      </c>
      <c r="J55">
        <v>3.6967709921605199</v>
      </c>
      <c r="K55" t="s">
        <v>25</v>
      </c>
      <c r="L55">
        <f t="shared" si="1"/>
        <v>0</v>
      </c>
    </row>
    <row r="56" spans="1:12" x14ac:dyDescent="0.2">
      <c r="A56" s="57">
        <v>13</v>
      </c>
      <c r="B56" s="57" t="s">
        <v>28</v>
      </c>
      <c r="C56">
        <v>-14.6830991844128</v>
      </c>
      <c r="D56">
        <v>-8.9330989749347403</v>
      </c>
      <c r="E56">
        <v>-11.999444874922</v>
      </c>
      <c r="F56">
        <v>-9.7499595840323998</v>
      </c>
      <c r="G56">
        <v>-5.8872002889178301</v>
      </c>
      <c r="H56">
        <v>5.8370736966340804</v>
      </c>
      <c r="I56">
        <v>-9.1114650118573994</v>
      </c>
      <c r="J56">
        <v>5.8370736966340804</v>
      </c>
      <c r="K56" t="s">
        <v>28</v>
      </c>
      <c r="L56">
        <f t="shared" si="1"/>
        <v>1</v>
      </c>
    </row>
    <row r="57" spans="1:12" x14ac:dyDescent="0.2">
      <c r="A57" s="57">
        <v>20</v>
      </c>
      <c r="B57" s="57" t="s">
        <v>28</v>
      </c>
      <c r="C57">
        <v>-9.1381928065908493</v>
      </c>
      <c r="D57">
        <v>-10.818268584864301</v>
      </c>
      <c r="E57">
        <v>-10.270951946433</v>
      </c>
      <c r="F57">
        <v>-9.8495585337293505</v>
      </c>
      <c r="G57">
        <v>-5.7182542521879602</v>
      </c>
      <c r="H57">
        <v>3.2419394301326099</v>
      </c>
      <c r="I57">
        <v>-11.7684331878114</v>
      </c>
      <c r="J57">
        <v>3.2419394301326099</v>
      </c>
      <c r="K57" t="s">
        <v>28</v>
      </c>
      <c r="L57">
        <f t="shared" si="1"/>
        <v>1</v>
      </c>
    </row>
    <row r="58" spans="1:12" x14ac:dyDescent="0.2">
      <c r="A58" s="57">
        <v>31</v>
      </c>
      <c r="B58" s="57" t="s">
        <v>28</v>
      </c>
      <c r="C58">
        <v>-14.6830991844128</v>
      </c>
      <c r="D58">
        <v>-8.9330989749347403</v>
      </c>
      <c r="E58">
        <v>-11.999444874922</v>
      </c>
      <c r="F58">
        <v>-9.7499595840323998</v>
      </c>
      <c r="G58">
        <v>-5.8872002889178301</v>
      </c>
      <c r="H58">
        <v>5.8370736966340804</v>
      </c>
      <c r="I58">
        <v>-9.1114650118573994</v>
      </c>
      <c r="J58">
        <v>5.8370736966340804</v>
      </c>
      <c r="K58" t="s">
        <v>28</v>
      </c>
      <c r="L58">
        <f t="shared" si="1"/>
        <v>1</v>
      </c>
    </row>
    <row r="59" spans="1:12" x14ac:dyDescent="0.2">
      <c r="A59" s="57">
        <v>50</v>
      </c>
      <c r="B59" s="57" t="s">
        <v>28</v>
      </c>
      <c r="C59">
        <v>-14.6830991844128</v>
      </c>
      <c r="D59">
        <v>-8.9330989749347403</v>
      </c>
      <c r="E59">
        <v>-11.999444874922</v>
      </c>
      <c r="F59">
        <v>-9.7499595840323998</v>
      </c>
      <c r="G59">
        <v>-5.8872002889178301</v>
      </c>
      <c r="H59">
        <v>5.8370736966340804</v>
      </c>
      <c r="I59">
        <v>-9.1114650118573994</v>
      </c>
      <c r="J59">
        <v>5.8370736966340804</v>
      </c>
      <c r="K59" t="s">
        <v>28</v>
      </c>
      <c r="L59">
        <f t="shared" si="1"/>
        <v>1</v>
      </c>
    </row>
    <row r="60" spans="1:12" x14ac:dyDescent="0.2">
      <c r="A60" s="57">
        <v>68</v>
      </c>
      <c r="B60" s="57" t="s">
        <v>28</v>
      </c>
      <c r="C60">
        <v>-14.6830991844128</v>
      </c>
      <c r="D60">
        <v>-8.9330989749347403</v>
      </c>
      <c r="E60">
        <v>-11.999444874922</v>
      </c>
      <c r="F60">
        <v>-9.7499595840323998</v>
      </c>
      <c r="G60">
        <v>-5.8872002889178301</v>
      </c>
      <c r="H60">
        <v>5.8370736966340804</v>
      </c>
      <c r="I60">
        <v>-9.1114650118573994</v>
      </c>
      <c r="J60">
        <v>5.8370736966340804</v>
      </c>
      <c r="K60" t="s">
        <v>28</v>
      </c>
      <c r="L60">
        <f t="shared" si="1"/>
        <v>1</v>
      </c>
    </row>
    <row r="61" spans="1:12" x14ac:dyDescent="0.2">
      <c r="A61" s="57">
        <v>82</v>
      </c>
      <c r="B61" s="57" t="s">
        <v>28</v>
      </c>
      <c r="C61">
        <v>-14.6830991844128</v>
      </c>
      <c r="D61">
        <v>-8.9330989749347403</v>
      </c>
      <c r="E61">
        <v>-11.999444874922</v>
      </c>
      <c r="F61">
        <v>-9.7499595840323998</v>
      </c>
      <c r="G61">
        <v>-5.8872002889178301</v>
      </c>
      <c r="H61">
        <v>5.8370736966340804</v>
      </c>
      <c r="I61">
        <v>-9.1114650118573994</v>
      </c>
      <c r="J61">
        <v>5.8370736966340804</v>
      </c>
      <c r="K61" t="s">
        <v>28</v>
      </c>
      <c r="L61">
        <f t="shared" si="1"/>
        <v>1</v>
      </c>
    </row>
    <row r="62" spans="1:12" x14ac:dyDescent="0.2">
      <c r="A62" s="57">
        <v>86</v>
      </c>
      <c r="B62" s="57" t="s">
        <v>28</v>
      </c>
      <c r="C62">
        <v>-14.6830991844128</v>
      </c>
      <c r="D62">
        <v>-8.9330989749347403</v>
      </c>
      <c r="E62">
        <v>-11.999444874922</v>
      </c>
      <c r="F62">
        <v>-9.7499595840323998</v>
      </c>
      <c r="G62">
        <v>-5.8872002889178301</v>
      </c>
      <c r="H62">
        <v>5.8370736966340804</v>
      </c>
      <c r="I62">
        <v>-9.1114650118573994</v>
      </c>
      <c r="J62">
        <v>5.8370736966340804</v>
      </c>
      <c r="K62" t="s">
        <v>28</v>
      </c>
      <c r="L62">
        <f t="shared" si="1"/>
        <v>1</v>
      </c>
    </row>
    <row r="63" spans="1:12" x14ac:dyDescent="0.2">
      <c r="A63" s="57">
        <v>100</v>
      </c>
      <c r="B63" s="57" t="s">
        <v>28</v>
      </c>
      <c r="C63">
        <v>-14.6830991844128</v>
      </c>
      <c r="D63">
        <v>-8.9330989749347403</v>
      </c>
      <c r="E63">
        <v>-11.999444874922</v>
      </c>
      <c r="F63">
        <v>-9.7499595840323998</v>
      </c>
      <c r="G63">
        <v>-5.8872002889178301</v>
      </c>
      <c r="H63">
        <v>5.8370736966340804</v>
      </c>
      <c r="I63">
        <v>-9.1114650118573994</v>
      </c>
      <c r="J63">
        <v>5.8370736966340804</v>
      </c>
      <c r="K63" t="s">
        <v>28</v>
      </c>
      <c r="L63">
        <f t="shared" si="1"/>
        <v>1</v>
      </c>
    </row>
    <row r="64" spans="1:12" x14ac:dyDescent="0.2">
      <c r="A64" s="57">
        <v>65</v>
      </c>
      <c r="B64" s="57" t="s">
        <v>186</v>
      </c>
      <c r="C64">
        <v>2.6749317104325701</v>
      </c>
      <c r="D64">
        <v>1.8899578711932501</v>
      </c>
      <c r="E64">
        <v>-11.356467905683999</v>
      </c>
      <c r="F64">
        <v>9.6613262277495604</v>
      </c>
      <c r="G64">
        <v>-3.9930622818037298</v>
      </c>
      <c r="H64">
        <v>-0.34950560465638297</v>
      </c>
      <c r="I64">
        <v>-0.91656379399094001</v>
      </c>
      <c r="J64">
        <v>9.6613262277495604</v>
      </c>
      <c r="K64" t="s">
        <v>26</v>
      </c>
      <c r="L64">
        <f t="shared" si="1"/>
        <v>0</v>
      </c>
    </row>
    <row r="65" spans="1:12" x14ac:dyDescent="0.2">
      <c r="A65" s="57">
        <v>8</v>
      </c>
      <c r="B65" s="57" t="s">
        <v>25</v>
      </c>
      <c r="C65">
        <v>-10.6381427112875</v>
      </c>
      <c r="D65">
        <v>7.3740745301244601</v>
      </c>
      <c r="E65">
        <v>-9.8231368397199006</v>
      </c>
      <c r="F65">
        <v>-2.6970447506622501</v>
      </c>
      <c r="G65">
        <v>2.85513696523841</v>
      </c>
      <c r="H65">
        <v>-0.35736829262922398</v>
      </c>
      <c r="I65">
        <v>9.12039544802726</v>
      </c>
      <c r="J65">
        <v>9.12039544802726</v>
      </c>
      <c r="K65" t="s">
        <v>25</v>
      </c>
      <c r="L65">
        <f t="shared" si="1"/>
        <v>1</v>
      </c>
    </row>
    <row r="66" spans="1:12" x14ac:dyDescent="0.2">
      <c r="A66" s="57">
        <v>26</v>
      </c>
      <c r="B66" s="57" t="s">
        <v>25</v>
      </c>
      <c r="C66">
        <v>-14.0511977562012</v>
      </c>
      <c r="D66">
        <v>1.48209355618353</v>
      </c>
      <c r="E66">
        <v>-10.678527722434501</v>
      </c>
      <c r="F66">
        <v>-2.0780997242200598</v>
      </c>
      <c r="G66">
        <v>1.32113375521159</v>
      </c>
      <c r="H66">
        <v>-0.84486937389601302</v>
      </c>
      <c r="I66">
        <v>5.04675844972195</v>
      </c>
      <c r="J66">
        <v>5.04675844972195</v>
      </c>
      <c r="K66" t="s">
        <v>25</v>
      </c>
      <c r="L66">
        <f t="shared" ref="L66:L68" si="2">IF(K66=B66,1,0)</f>
        <v>1</v>
      </c>
    </row>
    <row r="67" spans="1:12" x14ac:dyDescent="0.2">
      <c r="A67" s="57">
        <v>32</v>
      </c>
      <c r="B67" s="57" t="s">
        <v>25</v>
      </c>
      <c r="C67">
        <v>-11.3413202507327</v>
      </c>
      <c r="D67">
        <v>-1.3120316373077601</v>
      </c>
      <c r="E67">
        <v>-2.33924287681086</v>
      </c>
      <c r="F67">
        <v>-4.0228237854375699</v>
      </c>
      <c r="G67">
        <v>1.78524874986557</v>
      </c>
      <c r="H67">
        <v>-0.92405890469040797</v>
      </c>
      <c r="I67">
        <v>8.5137710372342692</v>
      </c>
      <c r="J67">
        <v>8.5137710372342692</v>
      </c>
      <c r="K67" t="s">
        <v>25</v>
      </c>
      <c r="L67">
        <f t="shared" si="2"/>
        <v>1</v>
      </c>
    </row>
    <row r="68" spans="1:12" x14ac:dyDescent="0.2">
      <c r="A68" s="57">
        <v>73</v>
      </c>
      <c r="B68" s="57" t="s">
        <v>25</v>
      </c>
      <c r="C68">
        <v>-11.3413202507327</v>
      </c>
      <c r="D68">
        <v>-8.1820376437967894</v>
      </c>
      <c r="E68">
        <v>-10.0964265613155</v>
      </c>
      <c r="F68">
        <v>-5.9613442579792499</v>
      </c>
      <c r="G68">
        <v>-2.9694268694417798</v>
      </c>
      <c r="H68">
        <v>-1.50090608983945</v>
      </c>
      <c r="I68">
        <v>5.2143996134732502</v>
      </c>
      <c r="J68">
        <v>5.2143996134732502</v>
      </c>
      <c r="K68" t="s">
        <v>25</v>
      </c>
      <c r="L68">
        <f t="shared" si="2"/>
        <v>1</v>
      </c>
    </row>
  </sheetData>
  <autoFilter ref="A1:L1" xr:uid="{139C2E46-32DD-4E45-B851-14FC41D626D5}">
    <sortState ref="A2:L68">
      <sortCondition ref="A1"/>
    </sortState>
  </autoFilter>
  <phoneticPr fontId="5" type="noConversion"/>
  <conditionalFormatting sqref="C2:J6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6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D6AC-4070-4454-B1C6-B1CF3887A11B}">
  <dimension ref="A1:S3"/>
  <sheetViews>
    <sheetView workbookViewId="0">
      <selection activeCell="P10" sqref="P10"/>
    </sheetView>
  </sheetViews>
  <sheetFormatPr defaultRowHeight="14.25" x14ac:dyDescent="0.2"/>
  <sheetData>
    <row r="1" spans="1:19" x14ac:dyDescent="0.2">
      <c r="A1" t="s">
        <v>220</v>
      </c>
      <c r="B1">
        <v>198</v>
      </c>
      <c r="C1">
        <v>202</v>
      </c>
      <c r="D1">
        <v>206</v>
      </c>
      <c r="E1">
        <v>222</v>
      </c>
      <c r="F1" s="55">
        <v>231</v>
      </c>
      <c r="G1" s="55">
        <v>232</v>
      </c>
      <c r="H1" s="55">
        <v>235</v>
      </c>
      <c r="I1" s="56">
        <v>236</v>
      </c>
      <c r="J1">
        <v>239</v>
      </c>
      <c r="K1" s="55">
        <v>272</v>
      </c>
      <c r="L1">
        <v>293</v>
      </c>
      <c r="M1" s="55">
        <v>295</v>
      </c>
      <c r="N1">
        <v>296</v>
      </c>
      <c r="O1" s="55">
        <v>297</v>
      </c>
      <c r="P1" s="55">
        <v>320</v>
      </c>
      <c r="Q1" s="55">
        <v>328</v>
      </c>
      <c r="R1" s="55">
        <v>329</v>
      </c>
    </row>
    <row r="2" spans="1:19" x14ac:dyDescent="0.2">
      <c r="B2" t="s">
        <v>212</v>
      </c>
      <c r="C2" t="s">
        <v>213</v>
      </c>
      <c r="D2" t="s">
        <v>214</v>
      </c>
      <c r="E2" t="s">
        <v>212</v>
      </c>
      <c r="F2" s="55" t="s">
        <v>215</v>
      </c>
      <c r="G2" s="55" t="s">
        <v>216</v>
      </c>
      <c r="H2" s="55" t="s">
        <v>208</v>
      </c>
      <c r="I2" s="56" t="s">
        <v>217</v>
      </c>
      <c r="J2" t="s">
        <v>218</v>
      </c>
      <c r="K2" s="55" t="s">
        <v>208</v>
      </c>
      <c r="L2" t="s">
        <v>219</v>
      </c>
      <c r="M2" s="55" t="s">
        <v>208</v>
      </c>
      <c r="N2" t="s">
        <v>216</v>
      </c>
      <c r="O2" s="55" t="s">
        <v>208</v>
      </c>
      <c r="P2" s="55" t="s">
        <v>216</v>
      </c>
      <c r="Q2" s="55" t="s">
        <v>214</v>
      </c>
      <c r="R2" s="55" t="s">
        <v>208</v>
      </c>
      <c r="S2" s="55" t="s">
        <v>287</v>
      </c>
    </row>
    <row r="3" spans="1:19" x14ac:dyDescent="0.2">
      <c r="A3" t="s">
        <v>221</v>
      </c>
      <c r="B3">
        <f t="shared" ref="B3:Q3" si="0">B1+5</f>
        <v>203</v>
      </c>
      <c r="C3">
        <f t="shared" si="0"/>
        <v>207</v>
      </c>
      <c r="D3">
        <f t="shared" si="0"/>
        <v>211</v>
      </c>
      <c r="E3">
        <f t="shared" si="0"/>
        <v>227</v>
      </c>
      <c r="F3" s="55">
        <f t="shared" si="0"/>
        <v>236</v>
      </c>
      <c r="G3" s="55">
        <f t="shared" si="0"/>
        <v>237</v>
      </c>
      <c r="H3" s="55">
        <f t="shared" si="0"/>
        <v>240</v>
      </c>
      <c r="I3" s="56">
        <f t="shared" si="0"/>
        <v>241</v>
      </c>
      <c r="J3">
        <f t="shared" si="0"/>
        <v>244</v>
      </c>
      <c r="K3" s="55">
        <f t="shared" si="0"/>
        <v>277</v>
      </c>
      <c r="L3">
        <f t="shared" si="0"/>
        <v>298</v>
      </c>
      <c r="M3" s="55">
        <f t="shared" si="0"/>
        <v>300</v>
      </c>
      <c r="N3">
        <f t="shared" si="0"/>
        <v>301</v>
      </c>
      <c r="O3" s="55">
        <f t="shared" si="0"/>
        <v>302</v>
      </c>
      <c r="P3" s="55">
        <f t="shared" si="0"/>
        <v>325</v>
      </c>
      <c r="Q3" s="55">
        <f t="shared" si="0"/>
        <v>333</v>
      </c>
      <c r="R3" s="55">
        <f>R1+5</f>
        <v>334</v>
      </c>
      <c r="S3" s="55">
        <v>531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8802-5109-4110-89A2-0376780E0A95}">
  <dimension ref="A1:W68"/>
  <sheetViews>
    <sheetView workbookViewId="0">
      <selection activeCell="P1" sqref="P1"/>
    </sheetView>
  </sheetViews>
  <sheetFormatPr defaultRowHeight="14.25" x14ac:dyDescent="0.2"/>
  <cols>
    <col min="1" max="1" width="7.875" bestFit="1" customWidth="1"/>
    <col min="2" max="2" width="11" bestFit="1" customWidth="1"/>
  </cols>
  <sheetData>
    <row r="1" spans="1:23" x14ac:dyDescent="0.2">
      <c r="A1" t="s">
        <v>200</v>
      </c>
      <c r="B1" t="s">
        <v>201</v>
      </c>
      <c r="C1" s="63">
        <v>127</v>
      </c>
      <c r="D1" s="58">
        <v>164</v>
      </c>
      <c r="E1" s="58">
        <v>168</v>
      </c>
      <c r="F1" s="58">
        <v>172</v>
      </c>
      <c r="G1" s="58">
        <v>180</v>
      </c>
      <c r="H1" s="59">
        <v>189</v>
      </c>
      <c r="I1" s="61">
        <v>190</v>
      </c>
      <c r="J1" s="59">
        <v>193</v>
      </c>
      <c r="K1" s="60">
        <v>194</v>
      </c>
      <c r="L1" s="62">
        <v>197</v>
      </c>
      <c r="M1" s="59">
        <v>232</v>
      </c>
      <c r="N1" s="58">
        <v>251</v>
      </c>
      <c r="O1" s="59">
        <v>253</v>
      </c>
      <c r="P1" s="58">
        <v>254</v>
      </c>
      <c r="Q1" s="59">
        <v>255</v>
      </c>
      <c r="R1" s="59">
        <v>278</v>
      </c>
      <c r="S1" s="59">
        <v>286</v>
      </c>
      <c r="T1" s="61">
        <v>287</v>
      </c>
      <c r="U1" s="63">
        <v>346</v>
      </c>
      <c r="V1" s="59">
        <v>529</v>
      </c>
      <c r="W1" t="s">
        <v>223</v>
      </c>
    </row>
    <row r="2" spans="1:23" x14ac:dyDescent="0.2">
      <c r="A2">
        <v>1</v>
      </c>
      <c r="B2">
        <v>1</v>
      </c>
      <c r="C2" t="s">
        <v>43</v>
      </c>
      <c r="D2" t="s">
        <v>188</v>
      </c>
      <c r="E2" t="s">
        <v>191</v>
      </c>
      <c r="F2" t="s">
        <v>51</v>
      </c>
      <c r="G2" t="s">
        <v>198</v>
      </c>
      <c r="H2" t="s">
        <v>199</v>
      </c>
      <c r="I2" t="s">
        <v>51</v>
      </c>
      <c r="J2" t="s">
        <v>43</v>
      </c>
      <c r="K2" t="s">
        <v>45</v>
      </c>
      <c r="L2" t="s">
        <v>43</v>
      </c>
      <c r="M2" t="s">
        <v>194</v>
      </c>
      <c r="N2" t="s">
        <v>51</v>
      </c>
      <c r="O2" t="s">
        <v>51</v>
      </c>
      <c r="P2" t="s">
        <v>189</v>
      </c>
      <c r="Q2" t="s">
        <v>42</v>
      </c>
      <c r="R2" t="s">
        <v>43</v>
      </c>
      <c r="S2" t="s">
        <v>47</v>
      </c>
      <c r="T2" t="s">
        <v>189</v>
      </c>
      <c r="U2" t="s">
        <v>190</v>
      </c>
      <c r="V2" t="s">
        <v>192</v>
      </c>
    </row>
    <row r="3" spans="1:23" x14ac:dyDescent="0.2">
      <c r="A3">
        <v>9</v>
      </c>
      <c r="B3">
        <v>1</v>
      </c>
      <c r="C3" t="s">
        <v>43</v>
      </c>
      <c r="D3" t="s">
        <v>188</v>
      </c>
      <c r="E3" t="s">
        <v>191</v>
      </c>
      <c r="F3" t="s">
        <v>51</v>
      </c>
      <c r="G3" t="s">
        <v>198</v>
      </c>
      <c r="H3" t="s">
        <v>199</v>
      </c>
      <c r="I3" t="s">
        <v>51</v>
      </c>
      <c r="J3" t="s">
        <v>43</v>
      </c>
      <c r="K3" t="s">
        <v>45</v>
      </c>
      <c r="L3" t="s">
        <v>43</v>
      </c>
      <c r="M3" t="s">
        <v>194</v>
      </c>
      <c r="N3" t="s">
        <v>51</v>
      </c>
      <c r="O3" t="s">
        <v>51</v>
      </c>
      <c r="P3" t="s">
        <v>51</v>
      </c>
      <c r="Q3" t="s">
        <v>42</v>
      </c>
      <c r="R3" t="s">
        <v>43</v>
      </c>
      <c r="S3" t="s">
        <v>197</v>
      </c>
      <c r="T3" t="s">
        <v>189</v>
      </c>
      <c r="U3" t="s">
        <v>190</v>
      </c>
      <c r="V3" t="s">
        <v>192</v>
      </c>
    </row>
    <row r="4" spans="1:23" x14ac:dyDescent="0.2">
      <c r="A4">
        <v>12</v>
      </c>
      <c r="B4">
        <v>1</v>
      </c>
      <c r="C4" t="s">
        <v>196</v>
      </c>
      <c r="D4" t="s">
        <v>188</v>
      </c>
      <c r="E4" t="s">
        <v>191</v>
      </c>
      <c r="F4" t="s">
        <v>51</v>
      </c>
      <c r="G4" t="s">
        <v>191</v>
      </c>
      <c r="H4" t="s">
        <v>199</v>
      </c>
      <c r="I4" t="s">
        <v>51</v>
      </c>
      <c r="J4" t="s">
        <v>43</v>
      </c>
      <c r="K4" t="s">
        <v>45</v>
      </c>
      <c r="L4" t="s">
        <v>42</v>
      </c>
      <c r="M4" t="s">
        <v>189</v>
      </c>
      <c r="N4" t="s">
        <v>51</v>
      </c>
      <c r="O4" t="s">
        <v>51</v>
      </c>
      <c r="P4" t="s">
        <v>51</v>
      </c>
      <c r="Q4" t="s">
        <v>42</v>
      </c>
      <c r="R4" t="s">
        <v>43</v>
      </c>
      <c r="S4" t="s">
        <v>47</v>
      </c>
      <c r="T4" t="s">
        <v>189</v>
      </c>
      <c r="U4" t="s">
        <v>190</v>
      </c>
      <c r="V4" t="s">
        <v>192</v>
      </c>
    </row>
    <row r="5" spans="1:23" x14ac:dyDescent="0.2">
      <c r="A5">
        <v>15</v>
      </c>
      <c r="B5">
        <v>1</v>
      </c>
      <c r="C5" t="s">
        <v>43</v>
      </c>
      <c r="D5" t="s">
        <v>188</v>
      </c>
      <c r="E5" t="s">
        <v>191</v>
      </c>
      <c r="F5" t="s">
        <v>51</v>
      </c>
      <c r="G5" t="s">
        <v>198</v>
      </c>
      <c r="H5" t="s">
        <v>199</v>
      </c>
      <c r="I5" t="s">
        <v>51</v>
      </c>
      <c r="J5" t="s">
        <v>43</v>
      </c>
      <c r="K5" t="s">
        <v>45</v>
      </c>
      <c r="L5" t="s">
        <v>42</v>
      </c>
      <c r="M5" t="s">
        <v>189</v>
      </c>
      <c r="N5" t="s">
        <v>51</v>
      </c>
      <c r="O5" t="s">
        <v>51</v>
      </c>
      <c r="P5" t="s">
        <v>51</v>
      </c>
      <c r="Q5" t="s">
        <v>42</v>
      </c>
      <c r="R5" t="s">
        <v>43</v>
      </c>
      <c r="S5" t="s">
        <v>47</v>
      </c>
      <c r="T5" t="s">
        <v>189</v>
      </c>
      <c r="U5" t="s">
        <v>190</v>
      </c>
      <c r="V5" t="s">
        <v>192</v>
      </c>
    </row>
    <row r="6" spans="1:23" x14ac:dyDescent="0.2">
      <c r="A6">
        <v>16</v>
      </c>
      <c r="B6">
        <v>1</v>
      </c>
      <c r="C6" t="s">
        <v>199</v>
      </c>
      <c r="D6" t="s">
        <v>188</v>
      </c>
      <c r="E6" t="s">
        <v>191</v>
      </c>
      <c r="F6" t="s">
        <v>191</v>
      </c>
      <c r="G6" t="s">
        <v>190</v>
      </c>
      <c r="H6" t="s">
        <v>199</v>
      </c>
      <c r="I6" t="s">
        <v>51</v>
      </c>
      <c r="J6" t="s">
        <v>43</v>
      </c>
      <c r="K6" t="s">
        <v>45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42</v>
      </c>
      <c r="R6" t="s">
        <v>43</v>
      </c>
      <c r="S6" t="s">
        <v>51</v>
      </c>
      <c r="T6" t="s">
        <v>189</v>
      </c>
      <c r="U6" t="s">
        <v>190</v>
      </c>
      <c r="V6" t="s">
        <v>192</v>
      </c>
    </row>
    <row r="7" spans="1:23" x14ac:dyDescent="0.2">
      <c r="A7">
        <v>19</v>
      </c>
      <c r="B7">
        <v>1</v>
      </c>
      <c r="C7" t="s">
        <v>43</v>
      </c>
      <c r="D7" t="s">
        <v>188</v>
      </c>
      <c r="E7" t="s">
        <v>191</v>
      </c>
      <c r="F7" t="s">
        <v>51</v>
      </c>
      <c r="G7" t="s">
        <v>198</v>
      </c>
      <c r="H7" t="s">
        <v>199</v>
      </c>
      <c r="I7" t="s">
        <v>51</v>
      </c>
      <c r="J7" t="s">
        <v>43</v>
      </c>
      <c r="K7" t="s">
        <v>45</v>
      </c>
      <c r="L7" t="s">
        <v>43</v>
      </c>
      <c r="M7" t="s">
        <v>194</v>
      </c>
      <c r="N7" t="s">
        <v>51</v>
      </c>
      <c r="O7" t="s">
        <v>51</v>
      </c>
      <c r="P7" t="s">
        <v>189</v>
      </c>
      <c r="Q7" t="s">
        <v>42</v>
      </c>
      <c r="R7" t="s">
        <v>43</v>
      </c>
      <c r="S7" t="s">
        <v>47</v>
      </c>
      <c r="T7" t="s">
        <v>189</v>
      </c>
      <c r="U7" t="s">
        <v>190</v>
      </c>
      <c r="V7" t="s">
        <v>192</v>
      </c>
    </row>
    <row r="8" spans="1:23" x14ac:dyDescent="0.2">
      <c r="A8">
        <v>21</v>
      </c>
      <c r="B8">
        <v>1</v>
      </c>
      <c r="C8" t="s">
        <v>43</v>
      </c>
      <c r="D8" t="s">
        <v>188</v>
      </c>
      <c r="E8" t="s">
        <v>191</v>
      </c>
      <c r="F8" t="s">
        <v>51</v>
      </c>
      <c r="G8" t="s">
        <v>198</v>
      </c>
      <c r="H8" t="s">
        <v>199</v>
      </c>
      <c r="I8" t="s">
        <v>47</v>
      </c>
      <c r="J8" t="s">
        <v>43</v>
      </c>
      <c r="K8" t="s">
        <v>45</v>
      </c>
      <c r="L8" t="s">
        <v>42</v>
      </c>
      <c r="M8" t="s">
        <v>189</v>
      </c>
      <c r="N8" t="s">
        <v>51</v>
      </c>
      <c r="O8" t="s">
        <v>51</v>
      </c>
      <c r="P8" t="s">
        <v>51</v>
      </c>
      <c r="Q8" t="s">
        <v>42</v>
      </c>
      <c r="R8" t="s">
        <v>43</v>
      </c>
      <c r="S8" t="s">
        <v>47</v>
      </c>
      <c r="T8" t="s">
        <v>189</v>
      </c>
      <c r="U8" t="s">
        <v>190</v>
      </c>
      <c r="V8" t="s">
        <v>192</v>
      </c>
    </row>
    <row r="9" spans="1:23" x14ac:dyDescent="0.2">
      <c r="A9">
        <v>23</v>
      </c>
      <c r="B9">
        <v>1</v>
      </c>
      <c r="C9" t="s">
        <v>42</v>
      </c>
      <c r="D9" t="s">
        <v>188</v>
      </c>
      <c r="E9" t="s">
        <v>198</v>
      </c>
      <c r="F9" t="s">
        <v>51</v>
      </c>
      <c r="G9" t="s">
        <v>189</v>
      </c>
      <c r="H9" t="s">
        <v>199</v>
      </c>
      <c r="I9" t="s">
        <v>198</v>
      </c>
      <c r="J9" t="s">
        <v>43</v>
      </c>
      <c r="K9" t="s">
        <v>45</v>
      </c>
      <c r="L9" t="s">
        <v>42</v>
      </c>
      <c r="M9" t="s">
        <v>189</v>
      </c>
      <c r="N9" t="s">
        <v>51</v>
      </c>
      <c r="O9" t="s">
        <v>191</v>
      </c>
      <c r="P9" t="s">
        <v>51</v>
      </c>
      <c r="Q9" t="s">
        <v>42</v>
      </c>
      <c r="R9" t="s">
        <v>43</v>
      </c>
      <c r="S9" t="s">
        <v>47</v>
      </c>
      <c r="T9" t="s">
        <v>47</v>
      </c>
      <c r="U9" t="s">
        <v>190</v>
      </c>
      <c r="V9" t="s">
        <v>192</v>
      </c>
    </row>
    <row r="10" spans="1:23" x14ac:dyDescent="0.2">
      <c r="A10">
        <v>25</v>
      </c>
      <c r="B10">
        <v>1</v>
      </c>
      <c r="C10" t="s">
        <v>196</v>
      </c>
      <c r="D10" t="s">
        <v>188</v>
      </c>
      <c r="E10" t="s">
        <v>191</v>
      </c>
      <c r="F10" t="s">
        <v>51</v>
      </c>
      <c r="G10" t="s">
        <v>191</v>
      </c>
      <c r="H10" t="s">
        <v>199</v>
      </c>
      <c r="I10" t="s">
        <v>51</v>
      </c>
      <c r="J10" t="s">
        <v>43</v>
      </c>
      <c r="K10" t="s">
        <v>45</v>
      </c>
      <c r="L10" t="s">
        <v>42</v>
      </c>
      <c r="M10" t="s">
        <v>194</v>
      </c>
      <c r="N10" t="s">
        <v>51</v>
      </c>
      <c r="O10" t="s">
        <v>47</v>
      </c>
      <c r="P10" t="s">
        <v>51</v>
      </c>
      <c r="Q10" t="s">
        <v>42</v>
      </c>
      <c r="R10" t="s">
        <v>43</v>
      </c>
      <c r="S10" t="s">
        <v>47</v>
      </c>
      <c r="T10" t="s">
        <v>189</v>
      </c>
      <c r="U10" t="s">
        <v>190</v>
      </c>
      <c r="V10" t="s">
        <v>192</v>
      </c>
    </row>
    <row r="11" spans="1:23" x14ac:dyDescent="0.2">
      <c r="A11">
        <v>27</v>
      </c>
      <c r="B11">
        <v>1</v>
      </c>
      <c r="C11" t="s">
        <v>43</v>
      </c>
      <c r="D11" t="s">
        <v>188</v>
      </c>
      <c r="E11" t="s">
        <v>191</v>
      </c>
      <c r="F11" t="s">
        <v>51</v>
      </c>
      <c r="G11" t="s">
        <v>198</v>
      </c>
      <c r="H11" t="s">
        <v>199</v>
      </c>
      <c r="I11" t="s">
        <v>51</v>
      </c>
      <c r="J11" t="s">
        <v>43</v>
      </c>
      <c r="K11" t="s">
        <v>45</v>
      </c>
      <c r="L11" t="s">
        <v>43</v>
      </c>
      <c r="M11" t="s">
        <v>194</v>
      </c>
      <c r="N11" t="s">
        <v>51</v>
      </c>
      <c r="O11" t="s">
        <v>51</v>
      </c>
      <c r="P11" t="s">
        <v>51</v>
      </c>
      <c r="Q11" t="s">
        <v>42</v>
      </c>
      <c r="R11" t="s">
        <v>43</v>
      </c>
      <c r="S11" t="s">
        <v>197</v>
      </c>
      <c r="T11" t="s">
        <v>189</v>
      </c>
      <c r="U11" t="s">
        <v>190</v>
      </c>
      <c r="V11" t="s">
        <v>192</v>
      </c>
    </row>
    <row r="12" spans="1:23" x14ac:dyDescent="0.2">
      <c r="A12">
        <v>30</v>
      </c>
      <c r="B12">
        <v>1</v>
      </c>
      <c r="C12" t="s">
        <v>43</v>
      </c>
      <c r="D12" t="s">
        <v>188</v>
      </c>
      <c r="E12" t="s">
        <v>191</v>
      </c>
      <c r="F12" t="s">
        <v>51</v>
      </c>
      <c r="G12" t="s">
        <v>191</v>
      </c>
      <c r="H12" t="s">
        <v>199</v>
      </c>
      <c r="I12" t="s">
        <v>51</v>
      </c>
      <c r="J12" t="s">
        <v>43</v>
      </c>
      <c r="K12" t="s">
        <v>45</v>
      </c>
      <c r="L12" t="s">
        <v>43</v>
      </c>
      <c r="M12" t="s">
        <v>189</v>
      </c>
      <c r="N12" t="s">
        <v>51</v>
      </c>
      <c r="O12" t="s">
        <v>51</v>
      </c>
      <c r="P12" t="s">
        <v>51</v>
      </c>
      <c r="Q12" t="s">
        <v>42</v>
      </c>
      <c r="R12" t="s">
        <v>43</v>
      </c>
      <c r="S12" t="s">
        <v>47</v>
      </c>
      <c r="T12" t="s">
        <v>189</v>
      </c>
      <c r="U12" t="s">
        <v>190</v>
      </c>
      <c r="V12" t="s">
        <v>192</v>
      </c>
    </row>
    <row r="13" spans="1:23" x14ac:dyDescent="0.2">
      <c r="A13">
        <v>33</v>
      </c>
      <c r="B13">
        <v>1</v>
      </c>
      <c r="C13" t="s">
        <v>43</v>
      </c>
      <c r="D13" t="s">
        <v>188</v>
      </c>
      <c r="E13" t="s">
        <v>191</v>
      </c>
      <c r="F13" t="s">
        <v>51</v>
      </c>
      <c r="G13" t="s">
        <v>198</v>
      </c>
      <c r="H13" t="s">
        <v>199</v>
      </c>
      <c r="I13" t="s">
        <v>51</v>
      </c>
      <c r="J13" t="s">
        <v>43</v>
      </c>
      <c r="K13" t="s">
        <v>45</v>
      </c>
      <c r="L13" t="s">
        <v>42</v>
      </c>
      <c r="M13" t="s">
        <v>189</v>
      </c>
      <c r="N13" t="s">
        <v>51</v>
      </c>
      <c r="O13" t="s">
        <v>51</v>
      </c>
      <c r="P13" t="s">
        <v>51</v>
      </c>
      <c r="Q13" t="s">
        <v>42</v>
      </c>
      <c r="R13" t="s">
        <v>43</v>
      </c>
      <c r="S13" t="s">
        <v>47</v>
      </c>
      <c r="T13" t="s">
        <v>189</v>
      </c>
      <c r="U13" t="s">
        <v>190</v>
      </c>
      <c r="V13" t="s">
        <v>192</v>
      </c>
    </row>
    <row r="14" spans="1:23" x14ac:dyDescent="0.2">
      <c r="A14">
        <v>38</v>
      </c>
      <c r="B14">
        <v>1</v>
      </c>
      <c r="C14" t="s">
        <v>43</v>
      </c>
      <c r="D14" t="s">
        <v>188</v>
      </c>
      <c r="E14" t="s">
        <v>191</v>
      </c>
      <c r="F14" t="s">
        <v>51</v>
      </c>
      <c r="G14" t="s">
        <v>198</v>
      </c>
      <c r="H14" t="s">
        <v>199</v>
      </c>
      <c r="I14" t="s">
        <v>51</v>
      </c>
      <c r="J14" t="s">
        <v>43</v>
      </c>
      <c r="K14" t="s">
        <v>45</v>
      </c>
      <c r="L14" t="s">
        <v>43</v>
      </c>
      <c r="M14" t="s">
        <v>194</v>
      </c>
      <c r="N14" t="s">
        <v>51</v>
      </c>
      <c r="O14" t="s">
        <v>51</v>
      </c>
      <c r="P14" t="s">
        <v>189</v>
      </c>
      <c r="Q14" t="s">
        <v>42</v>
      </c>
      <c r="R14" t="s">
        <v>43</v>
      </c>
      <c r="S14" t="s">
        <v>47</v>
      </c>
      <c r="T14" t="s">
        <v>189</v>
      </c>
      <c r="U14" t="s">
        <v>190</v>
      </c>
      <c r="V14" t="s">
        <v>192</v>
      </c>
    </row>
    <row r="15" spans="1:23" x14ac:dyDescent="0.2">
      <c r="A15">
        <v>41</v>
      </c>
      <c r="B15">
        <v>1</v>
      </c>
      <c r="C15" t="s">
        <v>42</v>
      </c>
      <c r="D15" t="s">
        <v>188</v>
      </c>
      <c r="E15" t="s">
        <v>191</v>
      </c>
      <c r="F15" t="s">
        <v>51</v>
      </c>
      <c r="G15" t="s">
        <v>198</v>
      </c>
      <c r="H15" t="s">
        <v>199</v>
      </c>
      <c r="I15" t="s">
        <v>51</v>
      </c>
      <c r="J15" t="s">
        <v>43</v>
      </c>
      <c r="K15" t="s">
        <v>45</v>
      </c>
      <c r="L15" t="s">
        <v>188</v>
      </c>
      <c r="M15" t="s">
        <v>189</v>
      </c>
      <c r="N15" t="s">
        <v>47</v>
      </c>
      <c r="O15" t="s">
        <v>51</v>
      </c>
      <c r="P15" t="s">
        <v>51</v>
      </c>
      <c r="Q15" t="s">
        <v>42</v>
      </c>
      <c r="R15" t="s">
        <v>43</v>
      </c>
      <c r="S15" t="s">
        <v>47</v>
      </c>
      <c r="T15" t="s">
        <v>189</v>
      </c>
      <c r="U15" t="s">
        <v>190</v>
      </c>
      <c r="V15" t="s">
        <v>192</v>
      </c>
    </row>
    <row r="16" spans="1:23" x14ac:dyDescent="0.2">
      <c r="A16">
        <v>49</v>
      </c>
      <c r="B16">
        <v>1</v>
      </c>
      <c r="C16" t="s">
        <v>196</v>
      </c>
      <c r="D16" t="s">
        <v>188</v>
      </c>
      <c r="E16" t="s">
        <v>191</v>
      </c>
      <c r="F16" t="s">
        <v>51</v>
      </c>
      <c r="G16" t="s">
        <v>191</v>
      </c>
      <c r="H16" t="s">
        <v>199</v>
      </c>
      <c r="I16" t="s">
        <v>51</v>
      </c>
      <c r="J16" t="s">
        <v>43</v>
      </c>
      <c r="K16" t="s">
        <v>45</v>
      </c>
      <c r="L16" t="s">
        <v>42</v>
      </c>
      <c r="M16" t="s">
        <v>189</v>
      </c>
      <c r="N16" t="s">
        <v>51</v>
      </c>
      <c r="O16" t="s">
        <v>51</v>
      </c>
      <c r="P16" t="s">
        <v>51</v>
      </c>
      <c r="Q16" t="s">
        <v>42</v>
      </c>
      <c r="R16" t="s">
        <v>43</v>
      </c>
      <c r="S16" t="s">
        <v>47</v>
      </c>
      <c r="T16" t="s">
        <v>189</v>
      </c>
      <c r="U16" t="s">
        <v>190</v>
      </c>
      <c r="V16" t="s">
        <v>192</v>
      </c>
    </row>
    <row r="17" spans="1:22" x14ac:dyDescent="0.2">
      <c r="A17">
        <v>52</v>
      </c>
      <c r="B17">
        <v>1</v>
      </c>
      <c r="C17" t="s">
        <v>43</v>
      </c>
      <c r="D17" t="s">
        <v>188</v>
      </c>
      <c r="E17" t="s">
        <v>191</v>
      </c>
      <c r="F17" t="s">
        <v>51</v>
      </c>
      <c r="G17" t="s">
        <v>198</v>
      </c>
      <c r="H17" t="s">
        <v>199</v>
      </c>
      <c r="I17" t="s">
        <v>51</v>
      </c>
      <c r="J17" t="s">
        <v>43</v>
      </c>
      <c r="K17" t="s">
        <v>45</v>
      </c>
      <c r="L17" t="s">
        <v>42</v>
      </c>
      <c r="M17" t="s">
        <v>189</v>
      </c>
      <c r="N17" t="s">
        <v>51</v>
      </c>
      <c r="O17" t="s">
        <v>51</v>
      </c>
      <c r="P17" t="s">
        <v>51</v>
      </c>
      <c r="Q17" t="s">
        <v>42</v>
      </c>
      <c r="R17" t="s">
        <v>43</v>
      </c>
      <c r="S17" t="s">
        <v>47</v>
      </c>
      <c r="T17" t="s">
        <v>189</v>
      </c>
      <c r="U17" t="s">
        <v>190</v>
      </c>
      <c r="V17" t="s">
        <v>192</v>
      </c>
    </row>
    <row r="18" spans="1:22" x14ac:dyDescent="0.2">
      <c r="A18">
        <v>56</v>
      </c>
      <c r="B18">
        <v>1</v>
      </c>
      <c r="C18" t="s">
        <v>43</v>
      </c>
      <c r="D18" t="s">
        <v>188</v>
      </c>
      <c r="E18" t="s">
        <v>191</v>
      </c>
      <c r="F18" t="s">
        <v>51</v>
      </c>
      <c r="G18" t="s">
        <v>198</v>
      </c>
      <c r="H18" t="s">
        <v>199</v>
      </c>
      <c r="I18" t="s">
        <v>51</v>
      </c>
      <c r="J18" t="s">
        <v>43</v>
      </c>
      <c r="K18" t="s">
        <v>45</v>
      </c>
      <c r="L18" t="s">
        <v>43</v>
      </c>
      <c r="M18" t="s">
        <v>194</v>
      </c>
      <c r="N18" t="s">
        <v>51</v>
      </c>
      <c r="O18" t="s">
        <v>51</v>
      </c>
      <c r="P18" t="s">
        <v>189</v>
      </c>
      <c r="Q18" t="s">
        <v>42</v>
      </c>
      <c r="R18" t="s">
        <v>43</v>
      </c>
      <c r="S18" t="s">
        <v>47</v>
      </c>
      <c r="T18" t="s">
        <v>189</v>
      </c>
      <c r="U18" t="s">
        <v>190</v>
      </c>
      <c r="V18" t="s">
        <v>192</v>
      </c>
    </row>
    <row r="19" spans="1:22" x14ac:dyDescent="0.2">
      <c r="A19">
        <v>60</v>
      </c>
      <c r="B19">
        <v>1</v>
      </c>
      <c r="C19" t="s">
        <v>42</v>
      </c>
      <c r="D19" t="s">
        <v>188</v>
      </c>
      <c r="E19" t="s">
        <v>191</v>
      </c>
      <c r="F19" t="s">
        <v>51</v>
      </c>
      <c r="G19" t="s">
        <v>198</v>
      </c>
      <c r="H19" t="s">
        <v>199</v>
      </c>
      <c r="I19" t="s">
        <v>51</v>
      </c>
      <c r="J19" t="s">
        <v>43</v>
      </c>
      <c r="K19" t="s">
        <v>45</v>
      </c>
      <c r="L19" t="s">
        <v>197</v>
      </c>
      <c r="M19" t="s">
        <v>211</v>
      </c>
      <c r="N19" t="s">
        <v>51</v>
      </c>
      <c r="O19" t="s">
        <v>51</v>
      </c>
      <c r="P19" t="s">
        <v>51</v>
      </c>
      <c r="Q19" t="s">
        <v>197</v>
      </c>
      <c r="R19" t="s">
        <v>43</v>
      </c>
      <c r="S19" t="s">
        <v>47</v>
      </c>
      <c r="T19" t="s">
        <v>189</v>
      </c>
      <c r="U19" t="s">
        <v>190</v>
      </c>
      <c r="V19" t="s">
        <v>192</v>
      </c>
    </row>
    <row r="20" spans="1:22" x14ac:dyDescent="0.2">
      <c r="A20">
        <v>64</v>
      </c>
      <c r="B20">
        <v>1</v>
      </c>
      <c r="C20" t="s">
        <v>43</v>
      </c>
      <c r="D20" t="s">
        <v>188</v>
      </c>
      <c r="E20" t="s">
        <v>191</v>
      </c>
      <c r="F20" t="s">
        <v>51</v>
      </c>
      <c r="G20" t="s">
        <v>191</v>
      </c>
      <c r="H20" t="s">
        <v>199</v>
      </c>
      <c r="I20" t="s">
        <v>51</v>
      </c>
      <c r="J20" t="s">
        <v>43</v>
      </c>
      <c r="K20" t="s">
        <v>45</v>
      </c>
      <c r="L20" t="s">
        <v>43</v>
      </c>
      <c r="M20" t="s">
        <v>194</v>
      </c>
      <c r="N20" t="s">
        <v>51</v>
      </c>
      <c r="O20" t="s">
        <v>51</v>
      </c>
      <c r="P20" t="s">
        <v>51</v>
      </c>
      <c r="Q20" t="s">
        <v>42</v>
      </c>
      <c r="R20" t="s">
        <v>43</v>
      </c>
      <c r="S20" t="s">
        <v>197</v>
      </c>
      <c r="T20" t="s">
        <v>189</v>
      </c>
      <c r="U20" t="s">
        <v>190</v>
      </c>
      <c r="V20" t="s">
        <v>192</v>
      </c>
    </row>
    <row r="21" spans="1:22" x14ac:dyDescent="0.2">
      <c r="A21">
        <v>67</v>
      </c>
      <c r="B21">
        <v>1</v>
      </c>
      <c r="C21" t="s">
        <v>188</v>
      </c>
      <c r="D21" t="s">
        <v>188</v>
      </c>
      <c r="E21" t="s">
        <v>191</v>
      </c>
      <c r="F21" t="s">
        <v>51</v>
      </c>
      <c r="G21" t="s">
        <v>191</v>
      </c>
      <c r="H21" t="s">
        <v>199</v>
      </c>
      <c r="I21" t="s">
        <v>51</v>
      </c>
      <c r="J21" t="s">
        <v>43</v>
      </c>
      <c r="K21" t="s">
        <v>45</v>
      </c>
      <c r="L21" t="s">
        <v>42</v>
      </c>
      <c r="M21" t="s">
        <v>194</v>
      </c>
      <c r="N21" t="s">
        <v>51</v>
      </c>
      <c r="O21" t="s">
        <v>51</v>
      </c>
      <c r="P21" t="s">
        <v>51</v>
      </c>
      <c r="Q21" t="s">
        <v>42</v>
      </c>
      <c r="R21" t="s">
        <v>43</v>
      </c>
      <c r="S21" t="s">
        <v>47</v>
      </c>
      <c r="T21" t="s">
        <v>189</v>
      </c>
      <c r="U21" t="s">
        <v>190</v>
      </c>
      <c r="V21" t="s">
        <v>192</v>
      </c>
    </row>
    <row r="22" spans="1:22" x14ac:dyDescent="0.2">
      <c r="A22">
        <v>70</v>
      </c>
      <c r="B22">
        <v>1</v>
      </c>
      <c r="C22" t="s">
        <v>43</v>
      </c>
      <c r="D22" t="s">
        <v>188</v>
      </c>
      <c r="E22" t="s">
        <v>191</v>
      </c>
      <c r="F22" t="s">
        <v>51</v>
      </c>
      <c r="G22" t="s">
        <v>198</v>
      </c>
      <c r="H22" t="s">
        <v>199</v>
      </c>
      <c r="I22" t="s">
        <v>51</v>
      </c>
      <c r="J22" t="s">
        <v>43</v>
      </c>
      <c r="K22" t="s">
        <v>45</v>
      </c>
      <c r="L22" t="s">
        <v>42</v>
      </c>
      <c r="M22" t="s">
        <v>189</v>
      </c>
      <c r="N22" t="s">
        <v>51</v>
      </c>
      <c r="O22" t="s">
        <v>51</v>
      </c>
      <c r="P22" t="s">
        <v>51</v>
      </c>
      <c r="Q22" t="s">
        <v>42</v>
      </c>
      <c r="R22" t="s">
        <v>43</v>
      </c>
      <c r="S22" t="s">
        <v>47</v>
      </c>
      <c r="T22" t="s">
        <v>189</v>
      </c>
      <c r="U22" t="s">
        <v>190</v>
      </c>
      <c r="V22" t="s">
        <v>192</v>
      </c>
    </row>
    <row r="23" spans="1:22" x14ac:dyDescent="0.2">
      <c r="A23">
        <v>71</v>
      </c>
      <c r="B23">
        <v>1</v>
      </c>
      <c r="C23" t="s">
        <v>196</v>
      </c>
      <c r="D23" t="s">
        <v>188</v>
      </c>
      <c r="E23" t="s">
        <v>191</v>
      </c>
      <c r="F23" t="s">
        <v>198</v>
      </c>
      <c r="G23" t="s">
        <v>190</v>
      </c>
      <c r="H23" t="s">
        <v>199</v>
      </c>
      <c r="I23" t="s">
        <v>51</v>
      </c>
      <c r="J23" t="s">
        <v>43</v>
      </c>
      <c r="K23" t="s">
        <v>45</v>
      </c>
      <c r="L23" t="s">
        <v>51</v>
      </c>
      <c r="M23" t="s">
        <v>189</v>
      </c>
      <c r="N23" t="s">
        <v>51</v>
      </c>
      <c r="O23" t="s">
        <v>51</v>
      </c>
      <c r="P23" t="s">
        <v>51</v>
      </c>
      <c r="Q23" t="s">
        <v>42</v>
      </c>
      <c r="R23" t="s">
        <v>43</v>
      </c>
      <c r="S23" t="s">
        <v>51</v>
      </c>
      <c r="T23" t="s">
        <v>189</v>
      </c>
      <c r="U23" t="s">
        <v>190</v>
      </c>
      <c r="V23" t="s">
        <v>192</v>
      </c>
    </row>
    <row r="24" spans="1:22" x14ac:dyDescent="0.2">
      <c r="A24">
        <v>81</v>
      </c>
      <c r="B24">
        <v>1</v>
      </c>
      <c r="C24" t="s">
        <v>43</v>
      </c>
      <c r="D24" t="s">
        <v>188</v>
      </c>
      <c r="E24" t="s">
        <v>191</v>
      </c>
      <c r="F24" t="s">
        <v>51</v>
      </c>
      <c r="G24" t="s">
        <v>198</v>
      </c>
      <c r="H24" t="s">
        <v>199</v>
      </c>
      <c r="I24" t="s">
        <v>51</v>
      </c>
      <c r="J24" t="s">
        <v>43</v>
      </c>
      <c r="K24" t="s">
        <v>45</v>
      </c>
      <c r="L24" t="s">
        <v>43</v>
      </c>
      <c r="M24" t="s">
        <v>194</v>
      </c>
      <c r="N24" t="s">
        <v>51</v>
      </c>
      <c r="O24" t="s">
        <v>51</v>
      </c>
      <c r="P24" t="s">
        <v>51</v>
      </c>
      <c r="Q24" t="s">
        <v>42</v>
      </c>
      <c r="R24" t="s">
        <v>43</v>
      </c>
      <c r="S24" t="s">
        <v>197</v>
      </c>
      <c r="T24" t="s">
        <v>189</v>
      </c>
      <c r="U24" t="s">
        <v>190</v>
      </c>
      <c r="V24" t="s">
        <v>192</v>
      </c>
    </row>
    <row r="25" spans="1:22" x14ac:dyDescent="0.2">
      <c r="A25">
        <v>85</v>
      </c>
      <c r="B25">
        <v>1</v>
      </c>
      <c r="C25" t="s">
        <v>43</v>
      </c>
      <c r="D25" t="s">
        <v>188</v>
      </c>
      <c r="E25" t="s">
        <v>191</v>
      </c>
      <c r="F25" t="s">
        <v>51</v>
      </c>
      <c r="G25" t="s">
        <v>191</v>
      </c>
      <c r="H25" t="s">
        <v>199</v>
      </c>
      <c r="I25" t="s">
        <v>51</v>
      </c>
      <c r="J25" t="s">
        <v>43</v>
      </c>
      <c r="K25" t="s">
        <v>45</v>
      </c>
      <c r="L25" t="s">
        <v>42</v>
      </c>
      <c r="M25" t="s">
        <v>194</v>
      </c>
      <c r="N25" t="s">
        <v>51</v>
      </c>
      <c r="O25" t="s">
        <v>51</v>
      </c>
      <c r="P25" t="s">
        <v>51</v>
      </c>
      <c r="Q25" t="s">
        <v>42</v>
      </c>
      <c r="R25" t="s">
        <v>43</v>
      </c>
      <c r="S25" t="s">
        <v>47</v>
      </c>
      <c r="T25" t="s">
        <v>189</v>
      </c>
      <c r="U25" t="s">
        <v>190</v>
      </c>
      <c r="V25" t="s">
        <v>192</v>
      </c>
    </row>
    <row r="26" spans="1:22" x14ac:dyDescent="0.2">
      <c r="A26">
        <v>88</v>
      </c>
      <c r="B26">
        <v>1</v>
      </c>
      <c r="C26" t="s">
        <v>43</v>
      </c>
      <c r="D26" t="s">
        <v>188</v>
      </c>
      <c r="E26" t="s">
        <v>191</v>
      </c>
      <c r="F26" t="s">
        <v>51</v>
      </c>
      <c r="G26" t="s">
        <v>198</v>
      </c>
      <c r="H26" t="s">
        <v>199</v>
      </c>
      <c r="I26" t="s">
        <v>51</v>
      </c>
      <c r="J26" t="s">
        <v>43</v>
      </c>
      <c r="K26" t="s">
        <v>45</v>
      </c>
      <c r="L26" t="s">
        <v>43</v>
      </c>
      <c r="M26" t="s">
        <v>194</v>
      </c>
      <c r="N26" t="s">
        <v>51</v>
      </c>
      <c r="O26" t="s">
        <v>51</v>
      </c>
      <c r="P26" t="s">
        <v>189</v>
      </c>
      <c r="Q26" t="s">
        <v>42</v>
      </c>
      <c r="R26" t="s">
        <v>43</v>
      </c>
      <c r="S26" t="s">
        <v>47</v>
      </c>
      <c r="T26" t="s">
        <v>189</v>
      </c>
      <c r="U26" t="s">
        <v>190</v>
      </c>
      <c r="V26" t="s">
        <v>192</v>
      </c>
    </row>
    <row r="27" spans="1:22" x14ac:dyDescent="0.2">
      <c r="A27">
        <v>90</v>
      </c>
      <c r="B27">
        <v>1</v>
      </c>
      <c r="C27" t="s">
        <v>43</v>
      </c>
      <c r="D27" t="s">
        <v>188</v>
      </c>
      <c r="E27" t="s">
        <v>191</v>
      </c>
      <c r="F27" t="s">
        <v>51</v>
      </c>
      <c r="G27" t="s">
        <v>198</v>
      </c>
      <c r="H27" t="s">
        <v>199</v>
      </c>
      <c r="I27" t="s">
        <v>51</v>
      </c>
      <c r="J27" t="s">
        <v>43</v>
      </c>
      <c r="K27" t="s">
        <v>45</v>
      </c>
      <c r="L27" t="s">
        <v>42</v>
      </c>
      <c r="M27" t="s">
        <v>189</v>
      </c>
      <c r="N27" t="s">
        <v>51</v>
      </c>
      <c r="O27" t="s">
        <v>51</v>
      </c>
      <c r="P27" t="s">
        <v>51</v>
      </c>
      <c r="Q27" t="s">
        <v>42</v>
      </c>
      <c r="R27" t="s">
        <v>43</v>
      </c>
      <c r="S27" t="s">
        <v>47</v>
      </c>
      <c r="T27" t="s">
        <v>189</v>
      </c>
      <c r="U27" t="s">
        <v>190</v>
      </c>
      <c r="V27" t="s">
        <v>192</v>
      </c>
    </row>
    <row r="28" spans="1:22" x14ac:dyDescent="0.2">
      <c r="A28">
        <v>99</v>
      </c>
      <c r="B28">
        <v>1</v>
      </c>
      <c r="C28" t="s">
        <v>43</v>
      </c>
      <c r="D28" t="s">
        <v>188</v>
      </c>
      <c r="E28" t="s">
        <v>191</v>
      </c>
      <c r="F28" t="s">
        <v>51</v>
      </c>
      <c r="G28" t="s">
        <v>191</v>
      </c>
      <c r="H28" t="s">
        <v>199</v>
      </c>
      <c r="I28" t="s">
        <v>51</v>
      </c>
      <c r="J28" t="s">
        <v>43</v>
      </c>
      <c r="K28" t="s">
        <v>45</v>
      </c>
      <c r="L28" t="s">
        <v>42</v>
      </c>
      <c r="M28" t="s">
        <v>189</v>
      </c>
      <c r="N28" t="s">
        <v>51</v>
      </c>
      <c r="O28" t="s">
        <v>51</v>
      </c>
      <c r="P28" t="s">
        <v>51</v>
      </c>
      <c r="Q28" t="s">
        <v>42</v>
      </c>
      <c r="R28" t="s">
        <v>43</v>
      </c>
      <c r="S28" t="s">
        <v>47</v>
      </c>
      <c r="T28" t="s">
        <v>189</v>
      </c>
      <c r="U28" t="s">
        <v>190</v>
      </c>
      <c r="V28" t="s">
        <v>192</v>
      </c>
    </row>
    <row r="29" spans="1:22" x14ac:dyDescent="0.2">
      <c r="A29">
        <v>102</v>
      </c>
      <c r="B29">
        <v>1</v>
      </c>
      <c r="C29" t="s">
        <v>43</v>
      </c>
      <c r="D29" t="s">
        <v>188</v>
      </c>
      <c r="E29" t="s">
        <v>191</v>
      </c>
      <c r="F29" t="s">
        <v>51</v>
      </c>
      <c r="G29" t="s">
        <v>198</v>
      </c>
      <c r="H29" t="s">
        <v>199</v>
      </c>
      <c r="I29" t="s">
        <v>51</v>
      </c>
      <c r="J29" t="s">
        <v>43</v>
      </c>
      <c r="K29" t="s">
        <v>45</v>
      </c>
      <c r="L29" t="s">
        <v>42</v>
      </c>
      <c r="M29" t="s">
        <v>189</v>
      </c>
      <c r="N29" t="s">
        <v>51</v>
      </c>
      <c r="O29" t="s">
        <v>51</v>
      </c>
      <c r="P29" t="s">
        <v>51</v>
      </c>
      <c r="Q29" t="s">
        <v>42</v>
      </c>
      <c r="R29" t="s">
        <v>43</v>
      </c>
      <c r="S29" t="s">
        <v>47</v>
      </c>
      <c r="T29" t="s">
        <v>189</v>
      </c>
      <c r="U29" t="s">
        <v>190</v>
      </c>
      <c r="V29" t="s">
        <v>192</v>
      </c>
    </row>
    <row r="30" spans="1:22" x14ac:dyDescent="0.2">
      <c r="A30">
        <v>3</v>
      </c>
      <c r="B30">
        <v>2</v>
      </c>
      <c r="C30" t="s">
        <v>192</v>
      </c>
      <c r="D30" t="s">
        <v>188</v>
      </c>
      <c r="E30" t="s">
        <v>191</v>
      </c>
      <c r="F30" t="s">
        <v>51</v>
      </c>
      <c r="G30" t="s">
        <v>198</v>
      </c>
      <c r="H30" t="s">
        <v>199</v>
      </c>
      <c r="I30" t="s">
        <v>47</v>
      </c>
      <c r="J30" t="s">
        <v>43</v>
      </c>
      <c r="K30" t="s">
        <v>45</v>
      </c>
      <c r="L30" t="s">
        <v>51</v>
      </c>
      <c r="M30" t="s">
        <v>189</v>
      </c>
      <c r="N30" t="s">
        <v>51</v>
      </c>
      <c r="O30" t="s">
        <v>47</v>
      </c>
      <c r="P30" t="s">
        <v>51</v>
      </c>
      <c r="Q30" t="s">
        <v>42</v>
      </c>
      <c r="R30" t="s">
        <v>43</v>
      </c>
      <c r="S30" t="s">
        <v>47</v>
      </c>
      <c r="T30" t="s">
        <v>51</v>
      </c>
      <c r="U30" t="s">
        <v>190</v>
      </c>
      <c r="V30" t="s">
        <v>192</v>
      </c>
    </row>
    <row r="31" spans="1:22" x14ac:dyDescent="0.2">
      <c r="A31">
        <v>22</v>
      </c>
      <c r="B31">
        <v>2</v>
      </c>
      <c r="C31" t="s">
        <v>192</v>
      </c>
      <c r="D31" t="s">
        <v>188</v>
      </c>
      <c r="E31" t="s">
        <v>191</v>
      </c>
      <c r="F31" t="s">
        <v>51</v>
      </c>
      <c r="G31" t="s">
        <v>198</v>
      </c>
      <c r="H31" t="s">
        <v>199</v>
      </c>
      <c r="I31" t="s">
        <v>51</v>
      </c>
      <c r="J31" t="s">
        <v>43</v>
      </c>
      <c r="K31" t="s">
        <v>45</v>
      </c>
      <c r="L31" t="s">
        <v>51</v>
      </c>
      <c r="M31" t="s">
        <v>189</v>
      </c>
      <c r="N31" t="s">
        <v>51</v>
      </c>
      <c r="O31" t="s">
        <v>51</v>
      </c>
      <c r="P31" t="s">
        <v>51</v>
      </c>
      <c r="Q31" t="s">
        <v>42</v>
      </c>
      <c r="R31" t="s">
        <v>43</v>
      </c>
      <c r="S31" t="s">
        <v>47</v>
      </c>
      <c r="T31" t="s">
        <v>189</v>
      </c>
      <c r="U31" t="s">
        <v>190</v>
      </c>
      <c r="V31" t="s">
        <v>192</v>
      </c>
    </row>
    <row r="32" spans="1:22" x14ac:dyDescent="0.2">
      <c r="A32">
        <v>40</v>
      </c>
      <c r="B32">
        <v>2</v>
      </c>
      <c r="C32" t="s">
        <v>192</v>
      </c>
      <c r="D32" t="s">
        <v>188</v>
      </c>
      <c r="E32" t="s">
        <v>191</v>
      </c>
      <c r="F32" t="s">
        <v>51</v>
      </c>
      <c r="G32" t="s">
        <v>198</v>
      </c>
      <c r="H32" t="s">
        <v>199</v>
      </c>
      <c r="I32" t="s">
        <v>47</v>
      </c>
      <c r="J32" t="s">
        <v>43</v>
      </c>
      <c r="K32" t="s">
        <v>45</v>
      </c>
      <c r="L32" t="s">
        <v>51</v>
      </c>
      <c r="M32" t="s">
        <v>189</v>
      </c>
      <c r="N32" t="s">
        <v>51</v>
      </c>
      <c r="O32" t="s">
        <v>47</v>
      </c>
      <c r="P32" t="s">
        <v>51</v>
      </c>
      <c r="Q32" t="s">
        <v>42</v>
      </c>
      <c r="R32" t="s">
        <v>43</v>
      </c>
      <c r="S32" t="s">
        <v>47</v>
      </c>
      <c r="T32" t="s">
        <v>51</v>
      </c>
      <c r="U32" t="s">
        <v>190</v>
      </c>
      <c r="V32" t="s">
        <v>192</v>
      </c>
    </row>
    <row r="33" spans="1:22" x14ac:dyDescent="0.2">
      <c r="A33">
        <v>58</v>
      </c>
      <c r="B33">
        <v>2</v>
      </c>
      <c r="C33" t="s">
        <v>192</v>
      </c>
      <c r="D33" t="s">
        <v>188</v>
      </c>
      <c r="E33" t="s">
        <v>191</v>
      </c>
      <c r="F33" t="s">
        <v>51</v>
      </c>
      <c r="G33" t="s">
        <v>198</v>
      </c>
      <c r="H33" t="s">
        <v>199</v>
      </c>
      <c r="I33" t="s">
        <v>47</v>
      </c>
      <c r="J33" t="s">
        <v>43</v>
      </c>
      <c r="K33" t="s">
        <v>45</v>
      </c>
      <c r="L33" t="s">
        <v>51</v>
      </c>
      <c r="M33" t="s">
        <v>189</v>
      </c>
      <c r="N33" t="s">
        <v>51</v>
      </c>
      <c r="O33" t="s">
        <v>47</v>
      </c>
      <c r="P33" t="s">
        <v>51</v>
      </c>
      <c r="Q33" t="s">
        <v>42</v>
      </c>
      <c r="R33" t="s">
        <v>43</v>
      </c>
      <c r="S33" t="s">
        <v>47</v>
      </c>
      <c r="T33" t="s">
        <v>51</v>
      </c>
      <c r="U33" t="s">
        <v>190</v>
      </c>
      <c r="V33" t="s">
        <v>192</v>
      </c>
    </row>
    <row r="34" spans="1:22" x14ac:dyDescent="0.2">
      <c r="A34">
        <v>63</v>
      </c>
      <c r="B34">
        <v>2</v>
      </c>
      <c r="C34" t="s">
        <v>195</v>
      </c>
      <c r="D34" t="s">
        <v>188</v>
      </c>
      <c r="E34" t="s">
        <v>51</v>
      </c>
      <c r="F34" t="s">
        <v>51</v>
      </c>
      <c r="G34" t="s">
        <v>47</v>
      </c>
      <c r="H34" t="s">
        <v>199</v>
      </c>
      <c r="I34" t="s">
        <v>191</v>
      </c>
      <c r="J34" t="s">
        <v>189</v>
      </c>
      <c r="K34" t="s">
        <v>45</v>
      </c>
      <c r="L34" t="s">
        <v>188</v>
      </c>
      <c r="M34" t="s">
        <v>47</v>
      </c>
      <c r="N34" t="s">
        <v>198</v>
      </c>
      <c r="O34" t="s">
        <v>47</v>
      </c>
      <c r="P34" t="s">
        <v>47</v>
      </c>
      <c r="Q34" t="s">
        <v>42</v>
      </c>
      <c r="R34" t="s">
        <v>43</v>
      </c>
      <c r="S34" t="s">
        <v>47</v>
      </c>
      <c r="T34" t="s">
        <v>191</v>
      </c>
      <c r="U34" t="s">
        <v>196</v>
      </c>
      <c r="V34" t="s">
        <v>192</v>
      </c>
    </row>
    <row r="35" spans="1:22" x14ac:dyDescent="0.2">
      <c r="A35">
        <v>6</v>
      </c>
      <c r="B35">
        <v>4</v>
      </c>
      <c r="C35" t="s">
        <v>191</v>
      </c>
      <c r="D35" t="s">
        <v>188</v>
      </c>
      <c r="E35" t="s">
        <v>210</v>
      </c>
      <c r="F35" t="s">
        <v>194</v>
      </c>
      <c r="G35" t="s">
        <v>47</v>
      </c>
      <c r="H35" t="s">
        <v>199</v>
      </c>
      <c r="I35" t="s">
        <v>43</v>
      </c>
      <c r="J35" t="s">
        <v>43</v>
      </c>
      <c r="K35" t="s">
        <v>45</v>
      </c>
      <c r="L35" t="s">
        <v>190</v>
      </c>
      <c r="M35" t="s">
        <v>198</v>
      </c>
      <c r="N35" t="s">
        <v>51</v>
      </c>
      <c r="O35" t="s">
        <v>47</v>
      </c>
      <c r="P35" t="s">
        <v>51</v>
      </c>
      <c r="Q35" t="s">
        <v>43</v>
      </c>
      <c r="R35" t="s">
        <v>43</v>
      </c>
      <c r="S35" t="s">
        <v>196</v>
      </c>
      <c r="T35" t="s">
        <v>194</v>
      </c>
      <c r="U35" t="s">
        <v>42</v>
      </c>
      <c r="V35" t="s">
        <v>192</v>
      </c>
    </row>
    <row r="36" spans="1:22" x14ac:dyDescent="0.2">
      <c r="A36">
        <v>17</v>
      </c>
      <c r="B36">
        <v>4</v>
      </c>
      <c r="C36" t="s">
        <v>50</v>
      </c>
      <c r="D36" t="s">
        <v>190</v>
      </c>
      <c r="E36" t="s">
        <v>194</v>
      </c>
      <c r="F36" t="s">
        <v>194</v>
      </c>
      <c r="G36" t="s">
        <v>191</v>
      </c>
      <c r="H36" t="s">
        <v>199</v>
      </c>
      <c r="I36" t="s">
        <v>43</v>
      </c>
      <c r="J36" t="s">
        <v>43</v>
      </c>
      <c r="K36" t="s">
        <v>45</v>
      </c>
      <c r="L36" t="s">
        <v>43</v>
      </c>
      <c r="M36" t="s">
        <v>198</v>
      </c>
      <c r="N36" t="s">
        <v>190</v>
      </c>
      <c r="O36" t="s">
        <v>47</v>
      </c>
      <c r="P36" t="s">
        <v>51</v>
      </c>
      <c r="Q36" t="s">
        <v>43</v>
      </c>
      <c r="R36" t="s">
        <v>43</v>
      </c>
      <c r="S36" t="s">
        <v>196</v>
      </c>
      <c r="T36" t="s">
        <v>194</v>
      </c>
      <c r="U36" t="s">
        <v>42</v>
      </c>
      <c r="V36" t="s">
        <v>192</v>
      </c>
    </row>
    <row r="37" spans="1:22" x14ac:dyDescent="0.2">
      <c r="A37">
        <v>24</v>
      </c>
      <c r="B37">
        <v>4</v>
      </c>
      <c r="C37" t="s">
        <v>190</v>
      </c>
      <c r="D37" t="s">
        <v>188</v>
      </c>
      <c r="E37" t="s">
        <v>210</v>
      </c>
      <c r="F37" t="s">
        <v>194</v>
      </c>
      <c r="G37" t="s">
        <v>47</v>
      </c>
      <c r="H37" t="s">
        <v>199</v>
      </c>
      <c r="I37" t="s">
        <v>43</v>
      </c>
      <c r="J37" t="s">
        <v>43</v>
      </c>
      <c r="K37" t="s">
        <v>45</v>
      </c>
      <c r="L37" t="s">
        <v>190</v>
      </c>
      <c r="M37" t="s">
        <v>198</v>
      </c>
      <c r="N37" t="s">
        <v>51</v>
      </c>
      <c r="O37" t="s">
        <v>47</v>
      </c>
      <c r="P37" t="s">
        <v>51</v>
      </c>
      <c r="Q37" t="s">
        <v>43</v>
      </c>
      <c r="R37" t="s">
        <v>43</v>
      </c>
      <c r="S37" t="s">
        <v>196</v>
      </c>
      <c r="T37" t="s">
        <v>194</v>
      </c>
      <c r="U37" t="s">
        <v>42</v>
      </c>
      <c r="V37" t="s">
        <v>192</v>
      </c>
    </row>
    <row r="38" spans="1:22" x14ac:dyDescent="0.2">
      <c r="A38">
        <v>35</v>
      </c>
      <c r="B38">
        <v>4</v>
      </c>
      <c r="C38" t="s">
        <v>50</v>
      </c>
      <c r="D38" t="s">
        <v>190</v>
      </c>
      <c r="E38" t="s">
        <v>194</v>
      </c>
      <c r="F38" t="s">
        <v>194</v>
      </c>
      <c r="G38" t="s">
        <v>47</v>
      </c>
      <c r="H38" t="s">
        <v>199</v>
      </c>
      <c r="I38" t="s">
        <v>43</v>
      </c>
      <c r="J38" t="s">
        <v>43</v>
      </c>
      <c r="K38" t="s">
        <v>45</v>
      </c>
      <c r="L38" t="s">
        <v>43</v>
      </c>
      <c r="M38" t="s">
        <v>198</v>
      </c>
      <c r="N38" t="s">
        <v>190</v>
      </c>
      <c r="O38" t="s">
        <v>47</v>
      </c>
      <c r="P38" t="s">
        <v>51</v>
      </c>
      <c r="Q38" t="s">
        <v>43</v>
      </c>
      <c r="R38" t="s">
        <v>43</v>
      </c>
      <c r="S38" t="s">
        <v>196</v>
      </c>
      <c r="T38" t="s">
        <v>194</v>
      </c>
      <c r="U38" t="s">
        <v>42</v>
      </c>
      <c r="V38" t="s">
        <v>192</v>
      </c>
    </row>
    <row r="39" spans="1:22" x14ac:dyDescent="0.2">
      <c r="A39">
        <v>36</v>
      </c>
      <c r="B39">
        <v>4</v>
      </c>
      <c r="C39" t="s">
        <v>50</v>
      </c>
      <c r="D39" t="s">
        <v>188</v>
      </c>
      <c r="E39" t="s">
        <v>194</v>
      </c>
      <c r="F39" t="s">
        <v>194</v>
      </c>
      <c r="G39" t="s">
        <v>47</v>
      </c>
      <c r="H39" t="s">
        <v>199</v>
      </c>
      <c r="I39" t="s">
        <v>43</v>
      </c>
      <c r="J39" t="s">
        <v>43</v>
      </c>
      <c r="K39" t="s">
        <v>45</v>
      </c>
      <c r="L39" t="s">
        <v>42</v>
      </c>
      <c r="M39" t="s">
        <v>198</v>
      </c>
      <c r="N39" t="s">
        <v>190</v>
      </c>
      <c r="O39" t="s">
        <v>191</v>
      </c>
      <c r="P39" t="s">
        <v>51</v>
      </c>
      <c r="Q39" t="s">
        <v>43</v>
      </c>
      <c r="R39" t="s">
        <v>43</v>
      </c>
      <c r="S39" t="s">
        <v>196</v>
      </c>
      <c r="T39" t="s">
        <v>194</v>
      </c>
      <c r="U39" t="s">
        <v>47</v>
      </c>
      <c r="V39" t="s">
        <v>192</v>
      </c>
    </row>
    <row r="40" spans="1:22" x14ac:dyDescent="0.2">
      <c r="A40">
        <v>43</v>
      </c>
      <c r="B40">
        <v>4</v>
      </c>
      <c r="C40" t="s">
        <v>191</v>
      </c>
      <c r="D40" t="s">
        <v>188</v>
      </c>
      <c r="E40" t="s">
        <v>210</v>
      </c>
      <c r="F40" t="s">
        <v>194</v>
      </c>
      <c r="G40" t="s">
        <v>47</v>
      </c>
      <c r="H40" t="s">
        <v>199</v>
      </c>
      <c r="I40" t="s">
        <v>43</v>
      </c>
      <c r="J40" t="s">
        <v>43</v>
      </c>
      <c r="K40" t="s">
        <v>45</v>
      </c>
      <c r="L40" t="s">
        <v>190</v>
      </c>
      <c r="M40" t="s">
        <v>198</v>
      </c>
      <c r="N40" t="s">
        <v>51</v>
      </c>
      <c r="O40" t="s">
        <v>47</v>
      </c>
      <c r="P40" t="s">
        <v>51</v>
      </c>
      <c r="Q40" t="s">
        <v>43</v>
      </c>
      <c r="R40" t="s">
        <v>43</v>
      </c>
      <c r="S40" t="s">
        <v>196</v>
      </c>
      <c r="T40" t="s">
        <v>194</v>
      </c>
      <c r="U40" t="s">
        <v>42</v>
      </c>
      <c r="V40" t="s">
        <v>192</v>
      </c>
    </row>
    <row r="41" spans="1:22" x14ac:dyDescent="0.2">
      <c r="A41">
        <v>54</v>
      </c>
      <c r="B41">
        <v>4</v>
      </c>
      <c r="C41" t="s">
        <v>50</v>
      </c>
      <c r="D41" t="s">
        <v>190</v>
      </c>
      <c r="E41" t="s">
        <v>194</v>
      </c>
      <c r="F41" t="s">
        <v>194</v>
      </c>
      <c r="G41" t="s">
        <v>191</v>
      </c>
      <c r="H41" t="s">
        <v>199</v>
      </c>
      <c r="I41" t="s">
        <v>43</v>
      </c>
      <c r="J41" t="s">
        <v>43</v>
      </c>
      <c r="K41" t="s">
        <v>45</v>
      </c>
      <c r="L41" t="s">
        <v>43</v>
      </c>
      <c r="M41" t="s">
        <v>198</v>
      </c>
      <c r="N41" t="s">
        <v>190</v>
      </c>
      <c r="O41" t="s">
        <v>47</v>
      </c>
      <c r="P41" t="s">
        <v>51</v>
      </c>
      <c r="Q41" t="s">
        <v>43</v>
      </c>
      <c r="R41" t="s">
        <v>43</v>
      </c>
      <c r="S41" t="s">
        <v>196</v>
      </c>
      <c r="T41" t="s">
        <v>194</v>
      </c>
      <c r="U41" t="s">
        <v>42</v>
      </c>
      <c r="V41" t="s">
        <v>192</v>
      </c>
    </row>
    <row r="42" spans="1:22" x14ac:dyDescent="0.2">
      <c r="A42">
        <v>61</v>
      </c>
      <c r="B42">
        <v>4</v>
      </c>
      <c r="C42" t="s">
        <v>191</v>
      </c>
      <c r="D42" t="s">
        <v>188</v>
      </c>
      <c r="E42" t="s">
        <v>210</v>
      </c>
      <c r="F42" t="s">
        <v>194</v>
      </c>
      <c r="G42" t="s">
        <v>47</v>
      </c>
      <c r="H42" t="s">
        <v>199</v>
      </c>
      <c r="I42" t="s">
        <v>43</v>
      </c>
      <c r="J42" t="s">
        <v>43</v>
      </c>
      <c r="K42" t="s">
        <v>45</v>
      </c>
      <c r="L42" t="s">
        <v>190</v>
      </c>
      <c r="M42" t="s">
        <v>198</v>
      </c>
      <c r="N42" t="s">
        <v>51</v>
      </c>
      <c r="O42" t="s">
        <v>47</v>
      </c>
      <c r="P42" t="s">
        <v>51</v>
      </c>
      <c r="Q42" t="s">
        <v>43</v>
      </c>
      <c r="R42" t="s">
        <v>43</v>
      </c>
      <c r="S42" t="s">
        <v>196</v>
      </c>
      <c r="T42" t="s">
        <v>194</v>
      </c>
      <c r="U42" t="s">
        <v>42</v>
      </c>
      <c r="V42" t="s">
        <v>192</v>
      </c>
    </row>
    <row r="43" spans="1:22" x14ac:dyDescent="0.2">
      <c r="A43">
        <v>72</v>
      </c>
      <c r="B43">
        <v>4</v>
      </c>
      <c r="C43" t="s">
        <v>50</v>
      </c>
      <c r="D43" t="s">
        <v>190</v>
      </c>
      <c r="E43" t="s">
        <v>194</v>
      </c>
      <c r="F43" t="s">
        <v>194</v>
      </c>
      <c r="G43" t="s">
        <v>191</v>
      </c>
      <c r="H43" t="s">
        <v>199</v>
      </c>
      <c r="I43" t="s">
        <v>43</v>
      </c>
      <c r="J43" t="s">
        <v>43</v>
      </c>
      <c r="K43" t="s">
        <v>45</v>
      </c>
      <c r="L43" t="s">
        <v>43</v>
      </c>
      <c r="M43" t="s">
        <v>198</v>
      </c>
      <c r="N43" t="s">
        <v>190</v>
      </c>
      <c r="O43" t="s">
        <v>47</v>
      </c>
      <c r="P43" t="s">
        <v>51</v>
      </c>
      <c r="Q43" t="s">
        <v>43</v>
      </c>
      <c r="R43" t="s">
        <v>43</v>
      </c>
      <c r="S43" t="s">
        <v>196</v>
      </c>
      <c r="T43" t="s">
        <v>194</v>
      </c>
      <c r="U43" t="s">
        <v>42</v>
      </c>
      <c r="V43" t="s">
        <v>192</v>
      </c>
    </row>
    <row r="44" spans="1:22" x14ac:dyDescent="0.2">
      <c r="A44">
        <v>10</v>
      </c>
      <c r="B44">
        <v>6</v>
      </c>
      <c r="C44" t="s">
        <v>43</v>
      </c>
      <c r="D44" t="s">
        <v>188</v>
      </c>
      <c r="E44" t="s">
        <v>191</v>
      </c>
      <c r="F44" t="s">
        <v>51</v>
      </c>
      <c r="G44" t="s">
        <v>198</v>
      </c>
      <c r="H44" t="s">
        <v>199</v>
      </c>
      <c r="I44" t="s">
        <v>47</v>
      </c>
      <c r="J44" t="s">
        <v>43</v>
      </c>
      <c r="K44" t="s">
        <v>45</v>
      </c>
      <c r="L44" t="s">
        <v>44</v>
      </c>
      <c r="M44" t="s">
        <v>194</v>
      </c>
      <c r="N44" t="s">
        <v>51</v>
      </c>
      <c r="O44" t="s">
        <v>51</v>
      </c>
      <c r="P44" t="s">
        <v>51</v>
      </c>
      <c r="Q44" t="s">
        <v>191</v>
      </c>
      <c r="R44" t="s">
        <v>42</v>
      </c>
      <c r="S44" t="s">
        <v>47</v>
      </c>
      <c r="T44" t="s">
        <v>189</v>
      </c>
      <c r="U44" t="s">
        <v>188</v>
      </c>
      <c r="V44" t="s">
        <v>192</v>
      </c>
    </row>
    <row r="45" spans="1:22" x14ac:dyDescent="0.2">
      <c r="A45">
        <v>28</v>
      </c>
      <c r="B45">
        <v>6</v>
      </c>
      <c r="C45" t="s">
        <v>195</v>
      </c>
      <c r="D45" t="s">
        <v>188</v>
      </c>
      <c r="E45" t="s">
        <v>191</v>
      </c>
      <c r="F45" t="s">
        <v>51</v>
      </c>
      <c r="G45" t="s">
        <v>198</v>
      </c>
      <c r="H45" t="s">
        <v>199</v>
      </c>
      <c r="I45" t="s">
        <v>47</v>
      </c>
      <c r="J45" t="s">
        <v>43</v>
      </c>
      <c r="K45" t="s">
        <v>45</v>
      </c>
      <c r="L45" t="s">
        <v>196</v>
      </c>
      <c r="M45" t="s">
        <v>194</v>
      </c>
      <c r="N45" t="s">
        <v>51</v>
      </c>
      <c r="O45" t="s">
        <v>51</v>
      </c>
      <c r="P45" t="s">
        <v>51</v>
      </c>
      <c r="Q45" t="s">
        <v>198</v>
      </c>
      <c r="R45" t="s">
        <v>42</v>
      </c>
      <c r="S45" t="s">
        <v>47</v>
      </c>
      <c r="T45" t="s">
        <v>51</v>
      </c>
      <c r="U45" t="s">
        <v>42</v>
      </c>
      <c r="V45" t="s">
        <v>192</v>
      </c>
    </row>
    <row r="46" spans="1:22" x14ac:dyDescent="0.2">
      <c r="A46">
        <v>57</v>
      </c>
      <c r="B46">
        <v>6</v>
      </c>
      <c r="C46" t="s">
        <v>43</v>
      </c>
      <c r="D46" t="s">
        <v>188</v>
      </c>
      <c r="E46" t="s">
        <v>191</v>
      </c>
      <c r="F46" t="s">
        <v>51</v>
      </c>
      <c r="G46" t="s">
        <v>198</v>
      </c>
      <c r="H46" t="s">
        <v>199</v>
      </c>
      <c r="I46" t="s">
        <v>191</v>
      </c>
      <c r="J46" t="s">
        <v>43</v>
      </c>
      <c r="K46" t="s">
        <v>45</v>
      </c>
      <c r="L46" t="s">
        <v>42</v>
      </c>
      <c r="M46" t="s">
        <v>198</v>
      </c>
      <c r="N46" t="s">
        <v>51</v>
      </c>
      <c r="O46" t="s">
        <v>47</v>
      </c>
      <c r="P46" t="s">
        <v>189</v>
      </c>
      <c r="Q46" t="s">
        <v>47</v>
      </c>
      <c r="R46" t="s">
        <v>43</v>
      </c>
      <c r="S46" t="s">
        <v>47</v>
      </c>
      <c r="T46" t="s">
        <v>51</v>
      </c>
      <c r="U46" t="s">
        <v>190</v>
      </c>
      <c r="V46" t="s">
        <v>192</v>
      </c>
    </row>
    <row r="47" spans="1:22" x14ac:dyDescent="0.2">
      <c r="A47">
        <v>97</v>
      </c>
      <c r="B47">
        <v>6</v>
      </c>
      <c r="C47" t="s">
        <v>43</v>
      </c>
      <c r="D47" t="s">
        <v>188</v>
      </c>
      <c r="E47" t="s">
        <v>191</v>
      </c>
      <c r="F47" t="s">
        <v>51</v>
      </c>
      <c r="G47" t="s">
        <v>198</v>
      </c>
      <c r="H47" t="s">
        <v>199</v>
      </c>
      <c r="I47" t="s">
        <v>47</v>
      </c>
      <c r="J47" t="s">
        <v>43</v>
      </c>
      <c r="K47" t="s">
        <v>45</v>
      </c>
      <c r="L47" t="s">
        <v>45</v>
      </c>
      <c r="M47" t="s">
        <v>194</v>
      </c>
      <c r="N47" t="s">
        <v>51</v>
      </c>
      <c r="O47" t="s">
        <v>51</v>
      </c>
      <c r="P47" t="s">
        <v>51</v>
      </c>
      <c r="Q47" t="s">
        <v>191</v>
      </c>
      <c r="R47" t="s">
        <v>42</v>
      </c>
      <c r="S47" t="s">
        <v>47</v>
      </c>
      <c r="T47" t="s">
        <v>189</v>
      </c>
      <c r="U47" t="s">
        <v>50</v>
      </c>
      <c r="V47" t="s">
        <v>192</v>
      </c>
    </row>
    <row r="48" spans="1:22" x14ac:dyDescent="0.2">
      <c r="A48">
        <v>4</v>
      </c>
      <c r="B48">
        <v>8</v>
      </c>
      <c r="C48" t="s">
        <v>42</v>
      </c>
      <c r="D48" t="s">
        <v>188</v>
      </c>
      <c r="E48" t="s">
        <v>188</v>
      </c>
      <c r="F48" t="s">
        <v>191</v>
      </c>
      <c r="G48" t="s">
        <v>198</v>
      </c>
      <c r="H48" t="s">
        <v>199</v>
      </c>
      <c r="I48" t="s">
        <v>198</v>
      </c>
      <c r="J48" t="s">
        <v>43</v>
      </c>
      <c r="K48" t="s">
        <v>45</v>
      </c>
      <c r="L48" t="s">
        <v>50</v>
      </c>
      <c r="M48" t="s">
        <v>189</v>
      </c>
      <c r="N48" t="s">
        <v>47</v>
      </c>
      <c r="O48" t="s">
        <v>51</v>
      </c>
      <c r="P48" t="s">
        <v>191</v>
      </c>
      <c r="Q48" t="s">
        <v>43</v>
      </c>
      <c r="R48" t="s">
        <v>43</v>
      </c>
      <c r="S48" t="s">
        <v>47</v>
      </c>
      <c r="T48" t="s">
        <v>42</v>
      </c>
      <c r="U48" t="s">
        <v>191</v>
      </c>
      <c r="V48" t="s">
        <v>192</v>
      </c>
    </row>
    <row r="49" spans="1:22" x14ac:dyDescent="0.2">
      <c r="A49">
        <v>14</v>
      </c>
      <c r="B49">
        <v>8</v>
      </c>
      <c r="C49" t="s">
        <v>45</v>
      </c>
      <c r="D49" t="s">
        <v>188</v>
      </c>
      <c r="E49" t="s">
        <v>194</v>
      </c>
      <c r="F49" t="s">
        <v>51</v>
      </c>
      <c r="G49" t="s">
        <v>198</v>
      </c>
      <c r="H49" t="s">
        <v>199</v>
      </c>
      <c r="I49" t="s">
        <v>42</v>
      </c>
      <c r="J49" t="s">
        <v>42</v>
      </c>
      <c r="K49" t="s">
        <v>45</v>
      </c>
      <c r="L49" t="s">
        <v>42</v>
      </c>
      <c r="M49" t="s">
        <v>51</v>
      </c>
      <c r="N49" t="s">
        <v>47</v>
      </c>
      <c r="O49" t="s">
        <v>191</v>
      </c>
      <c r="P49" t="s">
        <v>51</v>
      </c>
      <c r="Q49" t="s">
        <v>43</v>
      </c>
      <c r="R49" t="s">
        <v>42</v>
      </c>
      <c r="S49" t="s">
        <v>47</v>
      </c>
      <c r="T49" t="s">
        <v>189</v>
      </c>
      <c r="U49" t="s">
        <v>196</v>
      </c>
      <c r="V49" t="s">
        <v>192</v>
      </c>
    </row>
    <row r="50" spans="1:22" x14ac:dyDescent="0.2">
      <c r="A50">
        <v>29</v>
      </c>
      <c r="B50">
        <v>8</v>
      </c>
      <c r="C50" t="s">
        <v>193</v>
      </c>
      <c r="D50" t="s">
        <v>188</v>
      </c>
      <c r="E50" t="s">
        <v>191</v>
      </c>
      <c r="F50" t="s">
        <v>51</v>
      </c>
      <c r="G50" t="s">
        <v>191</v>
      </c>
      <c r="H50" t="s">
        <v>199</v>
      </c>
      <c r="I50" t="s">
        <v>189</v>
      </c>
      <c r="J50" t="s">
        <v>188</v>
      </c>
      <c r="K50" t="s">
        <v>45</v>
      </c>
      <c r="L50" t="s">
        <v>198</v>
      </c>
      <c r="M50" t="s">
        <v>194</v>
      </c>
      <c r="N50" t="s">
        <v>51</v>
      </c>
      <c r="O50" t="s">
        <v>51</v>
      </c>
      <c r="P50" t="s">
        <v>198</v>
      </c>
      <c r="Q50" t="s">
        <v>43</v>
      </c>
      <c r="R50" t="s">
        <v>42</v>
      </c>
      <c r="S50" t="s">
        <v>47</v>
      </c>
      <c r="T50" t="s">
        <v>198</v>
      </c>
      <c r="U50" t="s">
        <v>190</v>
      </c>
      <c r="V50" t="s">
        <v>192</v>
      </c>
    </row>
    <row r="51" spans="1:22" x14ac:dyDescent="0.2">
      <c r="A51">
        <v>51</v>
      </c>
      <c r="B51">
        <v>8</v>
      </c>
      <c r="C51" t="s">
        <v>192</v>
      </c>
      <c r="D51" t="s">
        <v>188</v>
      </c>
      <c r="E51" t="s">
        <v>194</v>
      </c>
      <c r="F51" t="s">
        <v>51</v>
      </c>
      <c r="G51" t="s">
        <v>198</v>
      </c>
      <c r="H51" t="s">
        <v>199</v>
      </c>
      <c r="I51" t="s">
        <v>42</v>
      </c>
      <c r="J51" t="s">
        <v>42</v>
      </c>
      <c r="K51" t="s">
        <v>45</v>
      </c>
      <c r="L51" t="s">
        <v>42</v>
      </c>
      <c r="M51" t="s">
        <v>51</v>
      </c>
      <c r="N51" t="s">
        <v>47</v>
      </c>
      <c r="O51" t="s">
        <v>198</v>
      </c>
      <c r="P51" t="s">
        <v>51</v>
      </c>
      <c r="Q51" t="s">
        <v>43</v>
      </c>
      <c r="R51" t="s">
        <v>42</v>
      </c>
      <c r="S51" t="s">
        <v>47</v>
      </c>
      <c r="T51" t="s">
        <v>189</v>
      </c>
      <c r="U51" t="s">
        <v>196</v>
      </c>
      <c r="V51" t="s">
        <v>192</v>
      </c>
    </row>
    <row r="52" spans="1:22" x14ac:dyDescent="0.2">
      <c r="A52">
        <v>66</v>
      </c>
      <c r="B52">
        <v>8</v>
      </c>
      <c r="C52" t="s">
        <v>193</v>
      </c>
      <c r="D52" t="s">
        <v>196</v>
      </c>
      <c r="E52" t="s">
        <v>191</v>
      </c>
      <c r="F52" t="s">
        <v>47</v>
      </c>
      <c r="G52" t="s">
        <v>191</v>
      </c>
      <c r="H52" t="s">
        <v>199</v>
      </c>
      <c r="I52" t="s">
        <v>189</v>
      </c>
      <c r="J52" t="s">
        <v>51</v>
      </c>
      <c r="K52" t="s">
        <v>45</v>
      </c>
      <c r="L52" t="s">
        <v>198</v>
      </c>
      <c r="M52" t="s">
        <v>194</v>
      </c>
      <c r="N52" t="s">
        <v>51</v>
      </c>
      <c r="O52" t="s">
        <v>189</v>
      </c>
      <c r="P52" t="s">
        <v>42</v>
      </c>
      <c r="Q52" t="s">
        <v>43</v>
      </c>
      <c r="R52" t="s">
        <v>43</v>
      </c>
      <c r="S52" t="s">
        <v>47</v>
      </c>
      <c r="T52" t="s">
        <v>47</v>
      </c>
      <c r="U52" t="s">
        <v>190</v>
      </c>
      <c r="V52" t="s">
        <v>192</v>
      </c>
    </row>
    <row r="53" spans="1:22" x14ac:dyDescent="0.2">
      <c r="A53">
        <v>69</v>
      </c>
      <c r="B53">
        <v>8</v>
      </c>
      <c r="C53" t="s">
        <v>192</v>
      </c>
      <c r="D53" t="s">
        <v>188</v>
      </c>
      <c r="E53" t="s">
        <v>194</v>
      </c>
      <c r="F53" t="s">
        <v>51</v>
      </c>
      <c r="G53" t="s">
        <v>198</v>
      </c>
      <c r="H53" t="s">
        <v>199</v>
      </c>
      <c r="I53" t="s">
        <v>42</v>
      </c>
      <c r="J53" t="s">
        <v>42</v>
      </c>
      <c r="K53" t="s">
        <v>45</v>
      </c>
      <c r="L53" t="s">
        <v>42</v>
      </c>
      <c r="M53" t="s">
        <v>51</v>
      </c>
      <c r="N53" t="s">
        <v>191</v>
      </c>
      <c r="O53" t="s">
        <v>191</v>
      </c>
      <c r="P53" t="s">
        <v>51</v>
      </c>
      <c r="Q53" t="s">
        <v>43</v>
      </c>
      <c r="R53" t="s">
        <v>42</v>
      </c>
      <c r="S53" t="s">
        <v>47</v>
      </c>
      <c r="T53" t="s">
        <v>189</v>
      </c>
      <c r="U53" t="s">
        <v>196</v>
      </c>
      <c r="V53" t="s">
        <v>192</v>
      </c>
    </row>
    <row r="54" spans="1:22" x14ac:dyDescent="0.2">
      <c r="A54">
        <v>37</v>
      </c>
      <c r="B54">
        <v>9</v>
      </c>
      <c r="C54" t="s">
        <v>50</v>
      </c>
      <c r="D54" t="s">
        <v>42</v>
      </c>
      <c r="E54" t="s">
        <v>44</v>
      </c>
      <c r="F54" t="s">
        <v>194</v>
      </c>
      <c r="G54" t="s">
        <v>198</v>
      </c>
      <c r="H54" t="s">
        <v>199</v>
      </c>
      <c r="I54" t="s">
        <v>42</v>
      </c>
      <c r="J54" t="s">
        <v>42</v>
      </c>
      <c r="K54" t="s">
        <v>45</v>
      </c>
      <c r="L54" t="s">
        <v>42</v>
      </c>
      <c r="M54" t="s">
        <v>191</v>
      </c>
      <c r="N54" t="s">
        <v>190</v>
      </c>
      <c r="O54" t="s">
        <v>51</v>
      </c>
      <c r="P54" t="s">
        <v>188</v>
      </c>
      <c r="Q54" t="s">
        <v>47</v>
      </c>
      <c r="R54" t="s">
        <v>43</v>
      </c>
      <c r="S54" t="s">
        <v>47</v>
      </c>
      <c r="T54" t="s">
        <v>43</v>
      </c>
      <c r="U54" t="s">
        <v>197</v>
      </c>
      <c r="V54" t="s">
        <v>192</v>
      </c>
    </row>
    <row r="55" spans="1:22" x14ac:dyDescent="0.2">
      <c r="A55">
        <v>55</v>
      </c>
      <c r="B55">
        <v>9</v>
      </c>
      <c r="C55" t="s">
        <v>50</v>
      </c>
      <c r="D55" t="s">
        <v>42</v>
      </c>
      <c r="E55" t="s">
        <v>44</v>
      </c>
      <c r="F55" t="s">
        <v>189</v>
      </c>
      <c r="G55" t="s">
        <v>198</v>
      </c>
      <c r="H55" t="s">
        <v>199</v>
      </c>
      <c r="I55" t="s">
        <v>42</v>
      </c>
      <c r="J55" t="s">
        <v>47</v>
      </c>
      <c r="K55" t="s">
        <v>45</v>
      </c>
      <c r="L55" t="s">
        <v>190</v>
      </c>
      <c r="M55" t="s">
        <v>47</v>
      </c>
      <c r="N55" t="s">
        <v>190</v>
      </c>
      <c r="O55" t="s">
        <v>47</v>
      </c>
      <c r="P55" t="s">
        <v>51</v>
      </c>
      <c r="Q55" t="s">
        <v>42</v>
      </c>
      <c r="R55" t="s">
        <v>43</v>
      </c>
      <c r="S55" t="s">
        <v>191</v>
      </c>
      <c r="T55" t="s">
        <v>43</v>
      </c>
      <c r="U55" t="s">
        <v>188</v>
      </c>
      <c r="V55" t="s">
        <v>192</v>
      </c>
    </row>
    <row r="56" spans="1:22" x14ac:dyDescent="0.2">
      <c r="A56">
        <v>13</v>
      </c>
      <c r="B56">
        <v>10</v>
      </c>
      <c r="C56" t="s">
        <v>193</v>
      </c>
      <c r="D56" t="s">
        <v>188</v>
      </c>
      <c r="E56" t="s">
        <v>194</v>
      </c>
      <c r="F56" t="s">
        <v>51</v>
      </c>
      <c r="G56" t="s">
        <v>47</v>
      </c>
      <c r="H56" t="s">
        <v>199</v>
      </c>
      <c r="I56" t="s">
        <v>47</v>
      </c>
      <c r="J56" t="s">
        <v>51</v>
      </c>
      <c r="K56" t="s">
        <v>199</v>
      </c>
      <c r="L56" t="s">
        <v>47</v>
      </c>
      <c r="M56" t="s">
        <v>189</v>
      </c>
      <c r="N56" t="s">
        <v>47</v>
      </c>
      <c r="O56" t="s">
        <v>197</v>
      </c>
      <c r="P56" t="s">
        <v>51</v>
      </c>
      <c r="Q56" t="s">
        <v>43</v>
      </c>
      <c r="R56" t="s">
        <v>51</v>
      </c>
      <c r="S56" t="s">
        <v>191</v>
      </c>
      <c r="T56" t="s">
        <v>197</v>
      </c>
      <c r="U56" t="s">
        <v>198</v>
      </c>
      <c r="V56" t="s">
        <v>192</v>
      </c>
    </row>
    <row r="57" spans="1:22" x14ac:dyDescent="0.2">
      <c r="A57">
        <v>20</v>
      </c>
      <c r="B57">
        <v>10</v>
      </c>
      <c r="C57" t="s">
        <v>193</v>
      </c>
      <c r="D57" t="s">
        <v>42</v>
      </c>
      <c r="E57" t="s">
        <v>210</v>
      </c>
      <c r="F57" t="s">
        <v>190</v>
      </c>
      <c r="G57" t="s">
        <v>47</v>
      </c>
      <c r="H57" t="s">
        <v>199</v>
      </c>
      <c r="I57" t="s">
        <v>191</v>
      </c>
      <c r="J57" t="s">
        <v>51</v>
      </c>
      <c r="K57" t="s">
        <v>199</v>
      </c>
      <c r="L57" t="s">
        <v>191</v>
      </c>
      <c r="M57" t="s">
        <v>191</v>
      </c>
      <c r="N57" t="s">
        <v>190</v>
      </c>
      <c r="O57" t="s">
        <v>197</v>
      </c>
      <c r="P57" t="s">
        <v>51</v>
      </c>
      <c r="Q57" t="s">
        <v>42</v>
      </c>
      <c r="R57" t="s">
        <v>51</v>
      </c>
      <c r="S57" t="s">
        <v>191</v>
      </c>
      <c r="T57" t="s">
        <v>197</v>
      </c>
      <c r="U57" t="s">
        <v>191</v>
      </c>
      <c r="V57" t="s">
        <v>192</v>
      </c>
    </row>
    <row r="58" spans="1:22" x14ac:dyDescent="0.2">
      <c r="A58">
        <v>31</v>
      </c>
      <c r="B58">
        <v>10</v>
      </c>
      <c r="C58" t="s">
        <v>193</v>
      </c>
      <c r="D58" t="s">
        <v>188</v>
      </c>
      <c r="E58" t="s">
        <v>194</v>
      </c>
      <c r="F58" t="s">
        <v>51</v>
      </c>
      <c r="G58" t="s">
        <v>47</v>
      </c>
      <c r="H58" t="s">
        <v>199</v>
      </c>
      <c r="I58" t="s">
        <v>47</v>
      </c>
      <c r="J58" t="s">
        <v>51</v>
      </c>
      <c r="K58" t="s">
        <v>199</v>
      </c>
      <c r="L58" t="s">
        <v>47</v>
      </c>
      <c r="M58" t="s">
        <v>189</v>
      </c>
      <c r="N58" t="s">
        <v>47</v>
      </c>
      <c r="O58" t="s">
        <v>197</v>
      </c>
      <c r="P58" t="s">
        <v>51</v>
      </c>
      <c r="Q58" t="s">
        <v>43</v>
      </c>
      <c r="R58" t="s">
        <v>51</v>
      </c>
      <c r="S58" t="s">
        <v>191</v>
      </c>
      <c r="T58" t="s">
        <v>197</v>
      </c>
      <c r="U58" t="s">
        <v>198</v>
      </c>
      <c r="V58" t="s">
        <v>192</v>
      </c>
    </row>
    <row r="59" spans="1:22" x14ac:dyDescent="0.2">
      <c r="A59">
        <v>50</v>
      </c>
      <c r="B59">
        <v>10</v>
      </c>
      <c r="C59" t="s">
        <v>193</v>
      </c>
      <c r="D59" t="s">
        <v>188</v>
      </c>
      <c r="E59" t="s">
        <v>194</v>
      </c>
      <c r="F59" t="s">
        <v>51</v>
      </c>
      <c r="G59" t="s">
        <v>47</v>
      </c>
      <c r="H59" t="s">
        <v>199</v>
      </c>
      <c r="I59" t="s">
        <v>47</v>
      </c>
      <c r="J59" t="s">
        <v>51</v>
      </c>
      <c r="K59" t="s">
        <v>199</v>
      </c>
      <c r="L59" t="s">
        <v>47</v>
      </c>
      <c r="M59" t="s">
        <v>189</v>
      </c>
      <c r="N59" t="s">
        <v>47</v>
      </c>
      <c r="O59" t="s">
        <v>197</v>
      </c>
      <c r="P59" t="s">
        <v>51</v>
      </c>
      <c r="Q59" t="s">
        <v>43</v>
      </c>
      <c r="R59" t="s">
        <v>51</v>
      </c>
      <c r="S59" t="s">
        <v>191</v>
      </c>
      <c r="T59" t="s">
        <v>197</v>
      </c>
      <c r="U59" t="s">
        <v>198</v>
      </c>
      <c r="V59" t="s">
        <v>192</v>
      </c>
    </row>
    <row r="60" spans="1:22" x14ac:dyDescent="0.2">
      <c r="A60">
        <v>68</v>
      </c>
      <c r="B60">
        <v>10</v>
      </c>
      <c r="C60" t="s">
        <v>193</v>
      </c>
      <c r="D60" t="s">
        <v>188</v>
      </c>
      <c r="E60" t="s">
        <v>194</v>
      </c>
      <c r="F60" t="s">
        <v>51</v>
      </c>
      <c r="G60" t="s">
        <v>191</v>
      </c>
      <c r="H60" t="s">
        <v>199</v>
      </c>
      <c r="I60" t="s">
        <v>47</v>
      </c>
      <c r="J60" t="s">
        <v>51</v>
      </c>
      <c r="K60" t="s">
        <v>199</v>
      </c>
      <c r="L60" t="s">
        <v>47</v>
      </c>
      <c r="M60" t="s">
        <v>189</v>
      </c>
      <c r="N60" t="s">
        <v>190</v>
      </c>
      <c r="O60" t="s">
        <v>197</v>
      </c>
      <c r="P60" t="s">
        <v>51</v>
      </c>
      <c r="Q60" t="s">
        <v>43</v>
      </c>
      <c r="R60" t="s">
        <v>51</v>
      </c>
      <c r="S60" t="s">
        <v>191</v>
      </c>
      <c r="T60" t="s">
        <v>197</v>
      </c>
      <c r="U60" t="s">
        <v>198</v>
      </c>
      <c r="V60" t="s">
        <v>192</v>
      </c>
    </row>
    <row r="61" spans="1:22" x14ac:dyDescent="0.2">
      <c r="A61">
        <v>82</v>
      </c>
      <c r="B61">
        <v>10</v>
      </c>
      <c r="C61" t="s">
        <v>193</v>
      </c>
      <c r="D61" t="s">
        <v>188</v>
      </c>
      <c r="E61" t="s">
        <v>194</v>
      </c>
      <c r="F61" t="s">
        <v>51</v>
      </c>
      <c r="G61" t="s">
        <v>47</v>
      </c>
      <c r="H61" t="s">
        <v>199</v>
      </c>
      <c r="I61" t="s">
        <v>47</v>
      </c>
      <c r="J61" t="s">
        <v>51</v>
      </c>
      <c r="K61" t="s">
        <v>199</v>
      </c>
      <c r="L61" t="s">
        <v>47</v>
      </c>
      <c r="M61" t="s">
        <v>189</v>
      </c>
      <c r="N61" t="s">
        <v>190</v>
      </c>
      <c r="O61" t="s">
        <v>197</v>
      </c>
      <c r="P61" t="s">
        <v>51</v>
      </c>
      <c r="Q61" t="s">
        <v>43</v>
      </c>
      <c r="R61" t="s">
        <v>51</v>
      </c>
      <c r="S61" t="s">
        <v>191</v>
      </c>
      <c r="T61" t="s">
        <v>197</v>
      </c>
      <c r="U61" t="s">
        <v>198</v>
      </c>
      <c r="V61" t="s">
        <v>192</v>
      </c>
    </row>
    <row r="62" spans="1:22" x14ac:dyDescent="0.2">
      <c r="A62">
        <v>86</v>
      </c>
      <c r="B62">
        <v>10</v>
      </c>
      <c r="C62" t="s">
        <v>193</v>
      </c>
      <c r="D62" t="s">
        <v>188</v>
      </c>
      <c r="E62" t="s">
        <v>194</v>
      </c>
      <c r="F62" t="s">
        <v>51</v>
      </c>
      <c r="G62" t="s">
        <v>47</v>
      </c>
      <c r="H62" t="s">
        <v>199</v>
      </c>
      <c r="I62" t="s">
        <v>47</v>
      </c>
      <c r="J62" t="s">
        <v>51</v>
      </c>
      <c r="K62" t="s">
        <v>199</v>
      </c>
      <c r="L62" t="s">
        <v>47</v>
      </c>
      <c r="M62" t="s">
        <v>189</v>
      </c>
      <c r="N62" t="s">
        <v>191</v>
      </c>
      <c r="O62" t="s">
        <v>197</v>
      </c>
      <c r="P62" t="s">
        <v>51</v>
      </c>
      <c r="Q62" t="s">
        <v>43</v>
      </c>
      <c r="R62" t="s">
        <v>51</v>
      </c>
      <c r="S62" t="s">
        <v>191</v>
      </c>
      <c r="T62" t="s">
        <v>197</v>
      </c>
      <c r="U62" t="s">
        <v>198</v>
      </c>
      <c r="V62" t="s">
        <v>192</v>
      </c>
    </row>
    <row r="63" spans="1:22" x14ac:dyDescent="0.2">
      <c r="A63">
        <v>100</v>
      </c>
      <c r="B63">
        <v>10</v>
      </c>
      <c r="C63" t="s">
        <v>193</v>
      </c>
      <c r="D63" t="s">
        <v>188</v>
      </c>
      <c r="E63" t="s">
        <v>194</v>
      </c>
      <c r="F63" t="s">
        <v>51</v>
      </c>
      <c r="G63" t="s">
        <v>47</v>
      </c>
      <c r="H63" t="s">
        <v>199</v>
      </c>
      <c r="I63" t="s">
        <v>47</v>
      </c>
      <c r="J63" t="s">
        <v>51</v>
      </c>
      <c r="K63" t="s">
        <v>199</v>
      </c>
      <c r="L63" t="s">
        <v>47</v>
      </c>
      <c r="M63" t="s">
        <v>189</v>
      </c>
      <c r="N63" t="s">
        <v>47</v>
      </c>
      <c r="O63" t="s">
        <v>197</v>
      </c>
      <c r="P63" t="s">
        <v>51</v>
      </c>
      <c r="Q63" t="s">
        <v>43</v>
      </c>
      <c r="R63" t="s">
        <v>51</v>
      </c>
      <c r="S63" t="s">
        <v>191</v>
      </c>
      <c r="T63" t="s">
        <v>197</v>
      </c>
      <c r="U63" t="s">
        <v>198</v>
      </c>
      <c r="V63" t="s">
        <v>192</v>
      </c>
    </row>
    <row r="64" spans="1:22" x14ac:dyDescent="0.2">
      <c r="A64">
        <v>65</v>
      </c>
      <c r="B64">
        <v>11</v>
      </c>
      <c r="C64" t="s">
        <v>43</v>
      </c>
      <c r="D64" t="s">
        <v>196</v>
      </c>
      <c r="E64" t="s">
        <v>51</v>
      </c>
      <c r="F64" t="s">
        <v>51</v>
      </c>
      <c r="G64" t="s">
        <v>198</v>
      </c>
      <c r="H64" t="s">
        <v>199</v>
      </c>
      <c r="I64" t="s">
        <v>47</v>
      </c>
      <c r="J64" t="s">
        <v>43</v>
      </c>
      <c r="K64" t="s">
        <v>45</v>
      </c>
      <c r="L64" t="s">
        <v>44</v>
      </c>
      <c r="M64" t="s">
        <v>194</v>
      </c>
      <c r="N64" t="s">
        <v>51</v>
      </c>
      <c r="O64" t="s">
        <v>51</v>
      </c>
      <c r="P64" t="s">
        <v>51</v>
      </c>
      <c r="Q64" t="s">
        <v>42</v>
      </c>
      <c r="R64" t="s">
        <v>42</v>
      </c>
      <c r="S64" t="s">
        <v>47</v>
      </c>
      <c r="T64" t="s">
        <v>194</v>
      </c>
      <c r="U64" t="s">
        <v>50</v>
      </c>
      <c r="V64" t="s">
        <v>192</v>
      </c>
    </row>
    <row r="65" spans="1:22" x14ac:dyDescent="0.2">
      <c r="A65">
        <v>8</v>
      </c>
      <c r="B65">
        <v>13</v>
      </c>
      <c r="C65" t="s">
        <v>195</v>
      </c>
      <c r="D65" t="s">
        <v>188</v>
      </c>
      <c r="E65" t="s">
        <v>51</v>
      </c>
      <c r="F65" t="s">
        <v>47</v>
      </c>
      <c r="G65" t="s">
        <v>47</v>
      </c>
      <c r="H65" t="s">
        <v>199</v>
      </c>
      <c r="I65" t="s">
        <v>42</v>
      </c>
      <c r="J65" t="s">
        <v>189</v>
      </c>
      <c r="K65" t="s">
        <v>45</v>
      </c>
      <c r="L65" t="s">
        <v>188</v>
      </c>
      <c r="M65" t="s">
        <v>51</v>
      </c>
      <c r="N65" t="s">
        <v>198</v>
      </c>
      <c r="O65" t="s">
        <v>51</v>
      </c>
      <c r="P65" t="s">
        <v>42</v>
      </c>
      <c r="Q65" t="s">
        <v>42</v>
      </c>
      <c r="R65" t="s">
        <v>42</v>
      </c>
      <c r="S65" t="s">
        <v>47</v>
      </c>
      <c r="T65" t="s">
        <v>191</v>
      </c>
      <c r="U65" t="s">
        <v>196</v>
      </c>
      <c r="V65" t="s">
        <v>192</v>
      </c>
    </row>
    <row r="66" spans="1:22" x14ac:dyDescent="0.2">
      <c r="A66">
        <v>26</v>
      </c>
      <c r="B66">
        <v>13</v>
      </c>
      <c r="C66" t="s">
        <v>195</v>
      </c>
      <c r="D66" t="s">
        <v>188</v>
      </c>
      <c r="E66" t="s">
        <v>51</v>
      </c>
      <c r="F66" t="s">
        <v>51</v>
      </c>
      <c r="G66" t="s">
        <v>47</v>
      </c>
      <c r="H66" t="s">
        <v>199</v>
      </c>
      <c r="I66" t="s">
        <v>42</v>
      </c>
      <c r="J66" t="s">
        <v>189</v>
      </c>
      <c r="K66" t="s">
        <v>45</v>
      </c>
      <c r="L66" t="s">
        <v>188</v>
      </c>
      <c r="M66" t="s">
        <v>51</v>
      </c>
      <c r="N66" t="s">
        <v>47</v>
      </c>
      <c r="O66" t="s">
        <v>51</v>
      </c>
      <c r="P66" t="s">
        <v>191</v>
      </c>
      <c r="Q66" t="s">
        <v>43</v>
      </c>
      <c r="R66" t="s">
        <v>191</v>
      </c>
      <c r="S66" t="s">
        <v>47</v>
      </c>
      <c r="T66" t="s">
        <v>42</v>
      </c>
      <c r="U66" t="s">
        <v>188</v>
      </c>
      <c r="V66" t="s">
        <v>44</v>
      </c>
    </row>
    <row r="67" spans="1:22" x14ac:dyDescent="0.2">
      <c r="A67">
        <v>32</v>
      </c>
      <c r="B67">
        <v>13</v>
      </c>
      <c r="C67" t="s">
        <v>188</v>
      </c>
      <c r="D67" t="s">
        <v>188</v>
      </c>
      <c r="E67" t="s">
        <v>42</v>
      </c>
      <c r="F67" t="s">
        <v>51</v>
      </c>
      <c r="G67" t="s">
        <v>198</v>
      </c>
      <c r="H67" t="s">
        <v>199</v>
      </c>
      <c r="I67" t="s">
        <v>42</v>
      </c>
      <c r="J67" t="s">
        <v>42</v>
      </c>
      <c r="K67" t="s">
        <v>45</v>
      </c>
      <c r="L67" t="s">
        <v>190</v>
      </c>
      <c r="M67" t="s">
        <v>51</v>
      </c>
      <c r="N67" t="s">
        <v>51</v>
      </c>
      <c r="O67" t="s">
        <v>47</v>
      </c>
      <c r="P67" t="s">
        <v>51</v>
      </c>
      <c r="Q67" t="s">
        <v>47</v>
      </c>
      <c r="R67" t="s">
        <v>43</v>
      </c>
      <c r="S67" t="s">
        <v>47</v>
      </c>
      <c r="T67" t="s">
        <v>189</v>
      </c>
      <c r="U67" t="s">
        <v>196</v>
      </c>
      <c r="V67" t="s">
        <v>192</v>
      </c>
    </row>
    <row r="68" spans="1:22" x14ac:dyDescent="0.2">
      <c r="A68">
        <v>73</v>
      </c>
      <c r="B68">
        <v>13</v>
      </c>
      <c r="C68" t="s">
        <v>188</v>
      </c>
      <c r="D68" t="s">
        <v>47</v>
      </c>
      <c r="E68" t="s">
        <v>44</v>
      </c>
      <c r="F68" t="s">
        <v>189</v>
      </c>
      <c r="G68" t="s">
        <v>198</v>
      </c>
      <c r="H68" t="s">
        <v>199</v>
      </c>
      <c r="I68" t="s">
        <v>42</v>
      </c>
      <c r="J68" t="s">
        <v>191</v>
      </c>
      <c r="K68" t="s">
        <v>45</v>
      </c>
      <c r="L68" t="s">
        <v>190</v>
      </c>
      <c r="M68" t="s">
        <v>191</v>
      </c>
      <c r="N68" t="s">
        <v>42</v>
      </c>
      <c r="O68" t="s">
        <v>191</v>
      </c>
      <c r="P68" t="s">
        <v>51</v>
      </c>
      <c r="Q68" t="s">
        <v>47</v>
      </c>
      <c r="R68" t="s">
        <v>43</v>
      </c>
      <c r="S68" t="s">
        <v>47</v>
      </c>
      <c r="T68" t="s">
        <v>190</v>
      </c>
      <c r="U68" t="s">
        <v>188</v>
      </c>
      <c r="V68" t="s">
        <v>192</v>
      </c>
    </row>
  </sheetData>
  <autoFilter ref="A1:V1" xr:uid="{7F91A5CC-CEC1-4B32-81C3-A9C7F35DCD4D}">
    <sortState ref="A2:V68">
      <sortCondition ref="B1"/>
    </sortState>
  </autoFilter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FDC1-F5D4-474D-93D9-3FBB901838B8}">
  <dimension ref="A1:U9"/>
  <sheetViews>
    <sheetView workbookViewId="0">
      <selection activeCell="H18" sqref="H18"/>
    </sheetView>
  </sheetViews>
  <sheetFormatPr defaultRowHeight="14.25" x14ac:dyDescent="0.2"/>
  <cols>
    <col min="2" max="2" width="10.875" bestFit="1" customWidth="1"/>
  </cols>
  <sheetData>
    <row r="1" spans="1:21" x14ac:dyDescent="0.2">
      <c r="A1" t="s">
        <v>286</v>
      </c>
      <c r="B1" s="63">
        <v>127</v>
      </c>
      <c r="C1" s="58">
        <v>164</v>
      </c>
      <c r="D1" s="58">
        <v>168</v>
      </c>
      <c r="E1" s="58">
        <v>172</v>
      </c>
      <c r="F1" s="58">
        <v>180</v>
      </c>
      <c r="G1" s="59">
        <v>189</v>
      </c>
      <c r="H1" s="61">
        <v>190</v>
      </c>
      <c r="I1" s="59">
        <v>193</v>
      </c>
      <c r="J1" s="60">
        <v>194</v>
      </c>
      <c r="K1" s="62">
        <v>197</v>
      </c>
      <c r="L1" s="59">
        <v>232</v>
      </c>
      <c r="M1" s="58">
        <v>251</v>
      </c>
      <c r="N1" s="59">
        <v>253</v>
      </c>
      <c r="O1" s="58">
        <v>254</v>
      </c>
      <c r="P1" s="59">
        <v>255</v>
      </c>
      <c r="Q1" s="59">
        <v>278</v>
      </c>
      <c r="R1" s="59">
        <v>286</v>
      </c>
      <c r="S1" s="61">
        <v>287</v>
      </c>
      <c r="T1" s="63">
        <v>346</v>
      </c>
      <c r="U1" s="58">
        <v>529</v>
      </c>
    </row>
    <row r="2" spans="1:21" x14ac:dyDescent="0.2">
      <c r="A2" t="s">
        <v>125</v>
      </c>
      <c r="B2" s="56" t="s">
        <v>288</v>
      </c>
      <c r="C2" t="s">
        <v>224</v>
      </c>
      <c r="D2" t="s">
        <v>214</v>
      </c>
      <c r="E2" t="s">
        <v>218</v>
      </c>
      <c r="F2" s="56" t="s">
        <v>282</v>
      </c>
      <c r="G2" t="s">
        <v>215</v>
      </c>
      <c r="H2" t="s">
        <v>218</v>
      </c>
      <c r="I2" t="s">
        <v>208</v>
      </c>
      <c r="J2" t="s">
        <v>217</v>
      </c>
      <c r="K2" s="56" t="s">
        <v>285</v>
      </c>
      <c r="L2" s="56" t="s">
        <v>283</v>
      </c>
      <c r="M2" t="s">
        <v>218</v>
      </c>
      <c r="N2" t="s">
        <v>218</v>
      </c>
      <c r="O2" t="s">
        <v>227</v>
      </c>
      <c r="P2" t="s">
        <v>228</v>
      </c>
      <c r="Q2" t="s">
        <v>208</v>
      </c>
      <c r="R2" s="56" t="s">
        <v>284</v>
      </c>
      <c r="S2" t="s">
        <v>229</v>
      </c>
      <c r="T2" t="s">
        <v>295</v>
      </c>
      <c r="U2" t="s">
        <v>287</v>
      </c>
    </row>
    <row r="3" spans="1:21" x14ac:dyDescent="0.2">
      <c r="A3" t="s">
        <v>230</v>
      </c>
      <c r="B3" s="56" t="s">
        <v>289</v>
      </c>
      <c r="C3" t="s">
        <v>224</v>
      </c>
      <c r="D3" t="s">
        <v>231</v>
      </c>
      <c r="E3" t="s">
        <v>218</v>
      </c>
      <c r="F3" s="56" t="s">
        <v>281</v>
      </c>
      <c r="G3" t="s">
        <v>215</v>
      </c>
      <c r="H3" t="s">
        <v>233</v>
      </c>
      <c r="I3" t="s">
        <v>234</v>
      </c>
      <c r="J3" t="s">
        <v>217</v>
      </c>
      <c r="K3" t="s">
        <v>235</v>
      </c>
      <c r="L3" t="s">
        <v>229</v>
      </c>
      <c r="M3" t="s">
        <v>236</v>
      </c>
      <c r="N3" t="s">
        <v>237</v>
      </c>
      <c r="O3" t="s">
        <v>238</v>
      </c>
      <c r="P3" t="s">
        <v>228</v>
      </c>
      <c r="Q3" t="s">
        <v>208</v>
      </c>
      <c r="R3" t="s">
        <v>216</v>
      </c>
      <c r="S3" t="s">
        <v>239</v>
      </c>
      <c r="T3" s="56" t="s">
        <v>296</v>
      </c>
      <c r="U3" s="56" t="s">
        <v>287</v>
      </c>
    </row>
    <row r="4" spans="1:21" x14ac:dyDescent="0.2">
      <c r="A4" t="s">
        <v>128</v>
      </c>
      <c r="B4" s="56" t="s">
        <v>290</v>
      </c>
      <c r="C4" t="s">
        <v>224</v>
      </c>
      <c r="D4" t="s">
        <v>214</v>
      </c>
      <c r="E4" t="s">
        <v>218</v>
      </c>
      <c r="F4" t="s">
        <v>240</v>
      </c>
      <c r="G4" t="s">
        <v>215</v>
      </c>
      <c r="H4" t="s">
        <v>241</v>
      </c>
      <c r="I4" t="s">
        <v>208</v>
      </c>
      <c r="J4" t="s">
        <v>217</v>
      </c>
      <c r="K4" t="s">
        <v>242</v>
      </c>
      <c r="L4" t="s">
        <v>243</v>
      </c>
      <c r="M4" t="s">
        <v>218</v>
      </c>
      <c r="N4" t="s">
        <v>238</v>
      </c>
      <c r="O4" t="s">
        <v>227</v>
      </c>
      <c r="P4" t="s">
        <v>244</v>
      </c>
      <c r="Q4" t="s">
        <v>226</v>
      </c>
      <c r="R4" t="s">
        <v>216</v>
      </c>
      <c r="S4" t="s">
        <v>245</v>
      </c>
      <c r="T4" s="56" t="s">
        <v>297</v>
      </c>
      <c r="U4" s="56" t="s">
        <v>287</v>
      </c>
    </row>
    <row r="5" spans="1:21" x14ac:dyDescent="0.2">
      <c r="A5" t="s">
        <v>39</v>
      </c>
      <c r="B5" s="56" t="s">
        <v>292</v>
      </c>
      <c r="C5" t="s">
        <v>246</v>
      </c>
      <c r="D5" t="s">
        <v>247</v>
      </c>
      <c r="E5" t="s">
        <v>248</v>
      </c>
      <c r="F5" t="s">
        <v>225</v>
      </c>
      <c r="G5" t="s">
        <v>215</v>
      </c>
      <c r="H5" t="s">
        <v>249</v>
      </c>
      <c r="I5" t="s">
        <v>250</v>
      </c>
      <c r="J5" t="s">
        <v>217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208</v>
      </c>
      <c r="Q5" t="s">
        <v>226</v>
      </c>
      <c r="R5" t="s">
        <v>216</v>
      </c>
      <c r="S5" t="s">
        <v>256</v>
      </c>
      <c r="T5" s="56" t="s">
        <v>298</v>
      </c>
      <c r="U5" s="56" t="s">
        <v>287</v>
      </c>
    </row>
    <row r="6" spans="1:21" x14ac:dyDescent="0.2">
      <c r="A6" t="s">
        <v>126</v>
      </c>
      <c r="B6" s="56" t="s">
        <v>291</v>
      </c>
      <c r="C6" t="s">
        <v>257</v>
      </c>
      <c r="D6" t="s">
        <v>258</v>
      </c>
      <c r="E6" t="s">
        <v>259</v>
      </c>
      <c r="F6" t="s">
        <v>232</v>
      </c>
      <c r="G6" t="s">
        <v>215</v>
      </c>
      <c r="H6" t="s">
        <v>228</v>
      </c>
      <c r="I6" t="s">
        <v>260</v>
      </c>
      <c r="J6" t="s">
        <v>217</v>
      </c>
      <c r="K6" t="s">
        <v>261</v>
      </c>
      <c r="L6" t="s">
        <v>262</v>
      </c>
      <c r="M6" t="s">
        <v>265</v>
      </c>
      <c r="N6" t="s">
        <v>263</v>
      </c>
      <c r="O6" t="s">
        <v>264</v>
      </c>
      <c r="P6" t="s">
        <v>266</v>
      </c>
      <c r="Q6" t="s">
        <v>267</v>
      </c>
      <c r="R6" t="s">
        <v>216</v>
      </c>
      <c r="S6" t="s">
        <v>268</v>
      </c>
      <c r="T6" s="56" t="s">
        <v>299</v>
      </c>
      <c r="U6" s="56" t="s">
        <v>287</v>
      </c>
    </row>
    <row r="7" spans="1:21" x14ac:dyDescent="0.2">
      <c r="A7" t="s">
        <v>131</v>
      </c>
      <c r="B7" s="56" t="s">
        <v>293</v>
      </c>
      <c r="C7" t="s">
        <v>269</v>
      </c>
      <c r="D7" t="s">
        <v>270</v>
      </c>
      <c r="E7" t="s">
        <v>219</v>
      </c>
      <c r="F7" t="s">
        <v>241</v>
      </c>
      <c r="G7" t="s">
        <v>215</v>
      </c>
      <c r="H7" s="47" t="s">
        <v>208</v>
      </c>
      <c r="I7" t="s">
        <v>208</v>
      </c>
      <c r="J7" t="s">
        <v>217</v>
      </c>
      <c r="K7" s="56" t="s">
        <v>280</v>
      </c>
      <c r="L7" t="s">
        <v>240</v>
      </c>
      <c r="M7" t="s">
        <v>271</v>
      </c>
      <c r="N7" t="s">
        <v>241</v>
      </c>
      <c r="O7" t="s">
        <v>218</v>
      </c>
      <c r="P7" t="s">
        <v>208</v>
      </c>
      <c r="Q7" t="s">
        <v>208</v>
      </c>
      <c r="R7" s="47" t="s">
        <v>147</v>
      </c>
      <c r="S7" s="48" t="s">
        <v>219</v>
      </c>
      <c r="T7" s="56" t="s">
        <v>225</v>
      </c>
      <c r="U7" s="56" t="s">
        <v>287</v>
      </c>
    </row>
    <row r="8" spans="1:21" x14ac:dyDescent="0.2">
      <c r="A8" t="s">
        <v>272</v>
      </c>
      <c r="B8" s="56" t="s">
        <v>294</v>
      </c>
      <c r="C8" s="56" t="s">
        <v>274</v>
      </c>
      <c r="D8" s="56" t="s">
        <v>275</v>
      </c>
      <c r="E8" s="56" t="s">
        <v>276</v>
      </c>
      <c r="F8" s="56" t="s">
        <v>277</v>
      </c>
      <c r="G8" t="s">
        <v>215</v>
      </c>
      <c r="H8" s="56" t="s">
        <v>277</v>
      </c>
      <c r="I8" s="47" t="s">
        <v>218</v>
      </c>
      <c r="J8" s="48" t="s">
        <v>215</v>
      </c>
      <c r="K8" s="56" t="s">
        <v>277</v>
      </c>
      <c r="L8" s="56" t="s">
        <v>278</v>
      </c>
      <c r="M8" t="s">
        <v>273</v>
      </c>
      <c r="N8" s="47" t="s">
        <v>145</v>
      </c>
      <c r="O8" t="s">
        <v>218</v>
      </c>
      <c r="P8" s="56" t="s">
        <v>279</v>
      </c>
      <c r="Q8" s="47" t="s">
        <v>218</v>
      </c>
      <c r="R8" s="48" t="s">
        <v>214</v>
      </c>
      <c r="S8" s="48" t="s">
        <v>145</v>
      </c>
      <c r="T8" s="56" t="s">
        <v>246</v>
      </c>
      <c r="U8" s="56" t="s">
        <v>300</v>
      </c>
    </row>
    <row r="9" spans="1:21" x14ac:dyDescent="0.2">
      <c r="A9" t="s">
        <v>307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E50D-C8F3-4495-B984-A59C216EBC26}">
  <dimension ref="A1:AW42"/>
  <sheetViews>
    <sheetView workbookViewId="0">
      <selection activeCell="B12" sqref="B12"/>
    </sheetView>
  </sheetViews>
  <sheetFormatPr defaultRowHeight="14.25" x14ac:dyDescent="0.2"/>
  <cols>
    <col min="1" max="1" width="4.5" bestFit="1" customWidth="1"/>
    <col min="2" max="9" width="5.125" customWidth="1"/>
    <col min="10" max="10" width="5.375" customWidth="1"/>
    <col min="11" max="24" width="5.625" customWidth="1"/>
    <col min="25" max="26" width="9" customWidth="1"/>
    <col min="29" max="29" width="4.625" customWidth="1"/>
    <col min="30" max="31" width="2.875" bestFit="1" customWidth="1"/>
    <col min="32" max="34" width="3.125" bestFit="1" customWidth="1"/>
    <col min="35" max="35" width="2.75" bestFit="1" customWidth="1"/>
    <col min="36" max="37" width="3.125" bestFit="1" customWidth="1"/>
    <col min="38" max="38" width="2.75" bestFit="1" customWidth="1"/>
    <col min="39" max="39" width="3.125" bestFit="1" customWidth="1"/>
    <col min="40" max="40" width="3.25" bestFit="1" customWidth="1"/>
    <col min="41" max="44" width="3.125" bestFit="1" customWidth="1"/>
    <col min="45" max="45" width="2.75" bestFit="1" customWidth="1"/>
    <col min="46" max="46" width="2.875" bestFit="1" customWidth="1"/>
    <col min="47" max="48" width="3.125" bestFit="1" customWidth="1"/>
    <col min="49" max="49" width="2.5" bestFit="1" customWidth="1"/>
  </cols>
  <sheetData>
    <row r="1" spans="1:49" x14ac:dyDescent="0.2">
      <c r="A1" t="s">
        <v>200</v>
      </c>
      <c r="B1" t="s">
        <v>23</v>
      </c>
      <c r="C1" t="s">
        <v>22</v>
      </c>
      <c r="D1" t="s">
        <v>24</v>
      </c>
      <c r="E1" t="s">
        <v>26</v>
      </c>
      <c r="F1" t="s">
        <v>30</v>
      </c>
      <c r="G1" t="s">
        <v>28</v>
      </c>
      <c r="H1" t="s">
        <v>25</v>
      </c>
      <c r="I1" t="s">
        <v>205</v>
      </c>
      <c r="J1" t="s">
        <v>206</v>
      </c>
      <c r="K1" t="s">
        <v>23</v>
      </c>
      <c r="L1" t="s">
        <v>22</v>
      </c>
      <c r="M1" t="s">
        <v>184</v>
      </c>
      <c r="N1" t="s">
        <v>24</v>
      </c>
      <c r="O1" t="s">
        <v>31</v>
      </c>
      <c r="P1" t="s">
        <v>26</v>
      </c>
      <c r="Q1" t="s">
        <v>185</v>
      </c>
      <c r="R1" t="s">
        <v>30</v>
      </c>
      <c r="S1" t="s">
        <v>142</v>
      </c>
      <c r="T1" t="s">
        <v>28</v>
      </c>
      <c r="U1" t="s">
        <v>186</v>
      </c>
      <c r="V1" t="s">
        <v>144</v>
      </c>
      <c r="W1" t="s">
        <v>25</v>
      </c>
      <c r="X1" t="s">
        <v>187</v>
      </c>
      <c r="Y1" t="s">
        <v>302</v>
      </c>
      <c r="Z1" t="s">
        <v>303</v>
      </c>
      <c r="AA1" t="s">
        <v>304</v>
      </c>
      <c r="AB1" t="s">
        <v>305</v>
      </c>
      <c r="AC1" t="s">
        <v>301</v>
      </c>
      <c r="AD1" s="63">
        <v>127</v>
      </c>
      <c r="AE1" s="58">
        <v>164</v>
      </c>
      <c r="AF1" s="58">
        <v>168</v>
      </c>
      <c r="AG1" s="58">
        <v>172</v>
      </c>
      <c r="AH1" s="58">
        <v>180</v>
      </c>
      <c r="AI1" s="59">
        <v>189</v>
      </c>
      <c r="AJ1" s="61">
        <v>190</v>
      </c>
      <c r="AK1" s="59">
        <v>193</v>
      </c>
      <c r="AL1" s="60">
        <v>194</v>
      </c>
      <c r="AM1" s="62">
        <v>197</v>
      </c>
      <c r="AN1" s="59">
        <v>232</v>
      </c>
      <c r="AO1" s="58">
        <v>251</v>
      </c>
      <c r="AP1" s="59">
        <v>253</v>
      </c>
      <c r="AQ1" s="58">
        <v>254</v>
      </c>
      <c r="AR1" s="59">
        <v>255</v>
      </c>
      <c r="AS1" s="59">
        <v>278</v>
      </c>
      <c r="AT1" s="59">
        <v>286</v>
      </c>
      <c r="AU1" s="61">
        <v>287</v>
      </c>
      <c r="AV1" s="63">
        <v>346</v>
      </c>
      <c r="AW1" s="58">
        <v>529</v>
      </c>
    </row>
    <row r="2" spans="1:49" x14ac:dyDescent="0.2">
      <c r="A2" s="64">
        <v>2</v>
      </c>
      <c r="B2" s="65">
        <v>44.840338748209</v>
      </c>
      <c r="C2" s="65">
        <v>41.564616917072698</v>
      </c>
      <c r="D2" s="65">
        <v>4.9441978998772598</v>
      </c>
      <c r="E2" s="65">
        <v>40.815976301138299</v>
      </c>
      <c r="F2" s="65">
        <v>22.070691176100599</v>
      </c>
      <c r="G2" s="65">
        <v>-11.246500834954199</v>
      </c>
      <c r="H2" s="65">
        <v>18.001562574774599</v>
      </c>
      <c r="I2" s="65">
        <v>44.840338748209</v>
      </c>
      <c r="J2" s="65" t="s">
        <v>23</v>
      </c>
      <c r="K2" s="65">
        <v>0</v>
      </c>
      <c r="L2" s="65">
        <v>0.4</v>
      </c>
      <c r="M2" s="65">
        <v>0</v>
      </c>
      <c r="N2" s="65">
        <v>0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0</v>
      </c>
      <c r="U2" s="65">
        <v>0.6</v>
      </c>
      <c r="V2" s="65">
        <v>0</v>
      </c>
      <c r="W2" s="65">
        <v>0</v>
      </c>
      <c r="X2" s="65">
        <v>0</v>
      </c>
      <c r="Y2" s="65" t="s">
        <v>186</v>
      </c>
      <c r="Z2" s="65" t="s">
        <v>22</v>
      </c>
      <c r="AA2" s="65">
        <f>IF(J2=Y2,1,0)</f>
        <v>0</v>
      </c>
      <c r="AB2" s="66">
        <f>IF(J2=Z2,1,0)</f>
        <v>0</v>
      </c>
      <c r="AD2" t="s">
        <v>43</v>
      </c>
      <c r="AE2" t="s">
        <v>188</v>
      </c>
      <c r="AF2" t="s">
        <v>191</v>
      </c>
      <c r="AG2" t="s">
        <v>51</v>
      </c>
      <c r="AH2" t="s">
        <v>198</v>
      </c>
      <c r="AI2" t="s">
        <v>199</v>
      </c>
      <c r="AJ2" t="s">
        <v>51</v>
      </c>
      <c r="AK2" t="s">
        <v>43</v>
      </c>
      <c r="AL2" t="s">
        <v>45</v>
      </c>
      <c r="AM2" t="s">
        <v>42</v>
      </c>
      <c r="AN2" t="s">
        <v>191</v>
      </c>
      <c r="AO2" t="s">
        <v>51</v>
      </c>
      <c r="AP2" t="s">
        <v>47</v>
      </c>
      <c r="AQ2" t="s">
        <v>51</v>
      </c>
      <c r="AR2" t="s">
        <v>42</v>
      </c>
      <c r="AS2" t="s">
        <v>43</v>
      </c>
      <c r="AT2" t="s">
        <v>47</v>
      </c>
      <c r="AU2" t="s">
        <v>51</v>
      </c>
      <c r="AV2" t="s">
        <v>190</v>
      </c>
      <c r="AW2" t="s">
        <v>192</v>
      </c>
    </row>
    <row r="3" spans="1:49" x14ac:dyDescent="0.2">
      <c r="A3" s="69">
        <v>5</v>
      </c>
      <c r="B3" s="50">
        <v>41.109861192329603</v>
      </c>
      <c r="C3" s="50">
        <v>28.996636776170199</v>
      </c>
      <c r="D3" s="50">
        <v>14.2732122583808</v>
      </c>
      <c r="E3" s="50">
        <v>23.638599931545901</v>
      </c>
      <c r="F3" s="50">
        <v>25.613777073119</v>
      </c>
      <c r="G3" s="50">
        <v>-21.259399561398201</v>
      </c>
      <c r="H3" s="50">
        <v>15.5069985795735</v>
      </c>
      <c r="I3" s="50">
        <v>41.109861192329603</v>
      </c>
      <c r="J3" s="50" t="s">
        <v>23</v>
      </c>
      <c r="K3" s="50">
        <v>0.36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  <c r="R3" s="50">
        <v>0</v>
      </c>
      <c r="S3" s="50">
        <v>0</v>
      </c>
      <c r="T3" s="50">
        <v>0</v>
      </c>
      <c r="U3" s="50">
        <v>0</v>
      </c>
      <c r="V3" s="50">
        <v>0</v>
      </c>
      <c r="W3" s="50">
        <v>0.64</v>
      </c>
      <c r="X3" s="50">
        <v>0</v>
      </c>
      <c r="Y3" s="50" t="s">
        <v>25</v>
      </c>
      <c r="Z3" s="50" t="s">
        <v>23</v>
      </c>
      <c r="AA3" s="50">
        <f t="shared" ref="AA3:AA40" si="0">IF(J3=Y3,1,0)</f>
        <v>0</v>
      </c>
      <c r="AB3" s="68">
        <f t="shared" ref="AB3:AB40" si="1">IF(J3=Z3,1,0)</f>
        <v>1</v>
      </c>
      <c r="AD3" t="s">
        <v>42</v>
      </c>
      <c r="AE3" t="s">
        <v>188</v>
      </c>
      <c r="AF3" t="s">
        <v>191</v>
      </c>
      <c r="AG3" t="s">
        <v>191</v>
      </c>
      <c r="AH3" t="s">
        <v>51</v>
      </c>
      <c r="AI3" t="s">
        <v>199</v>
      </c>
      <c r="AJ3" t="s">
        <v>51</v>
      </c>
      <c r="AK3" t="s">
        <v>43</v>
      </c>
      <c r="AL3" t="s">
        <v>45</v>
      </c>
      <c r="AM3" t="s">
        <v>197</v>
      </c>
      <c r="AN3" t="s">
        <v>191</v>
      </c>
      <c r="AO3" t="s">
        <v>51</v>
      </c>
      <c r="AP3" t="s">
        <v>191</v>
      </c>
      <c r="AQ3" t="s">
        <v>51</v>
      </c>
      <c r="AR3" t="s">
        <v>197</v>
      </c>
      <c r="AS3" t="s">
        <v>43</v>
      </c>
      <c r="AT3" t="s">
        <v>47</v>
      </c>
      <c r="AU3" t="s">
        <v>194</v>
      </c>
      <c r="AV3" t="s">
        <v>190</v>
      </c>
      <c r="AW3" t="s">
        <v>192</v>
      </c>
    </row>
    <row r="4" spans="1:49" x14ac:dyDescent="0.2">
      <c r="A4" s="69">
        <v>7</v>
      </c>
      <c r="B4" s="50">
        <v>24.984642316057499</v>
      </c>
      <c r="C4" s="50">
        <v>8.8880936111524491</v>
      </c>
      <c r="D4" s="50">
        <v>-3.0280129998298699</v>
      </c>
      <c r="E4" s="50">
        <v>22.722517434482199</v>
      </c>
      <c r="F4" s="50">
        <v>14.904637357649801</v>
      </c>
      <c r="G4" s="50">
        <v>-14.662889253481699</v>
      </c>
      <c r="H4" s="50">
        <v>18.0947318205152</v>
      </c>
      <c r="I4" s="50">
        <v>24.984642316057499</v>
      </c>
      <c r="J4" s="50" t="s">
        <v>23</v>
      </c>
      <c r="K4" s="50">
        <v>0.56000000000000005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50">
        <v>0</v>
      </c>
      <c r="V4" s="50">
        <v>0</v>
      </c>
      <c r="W4" s="50">
        <v>0.44</v>
      </c>
      <c r="X4" s="50">
        <v>0</v>
      </c>
      <c r="Y4" s="50" t="s">
        <v>23</v>
      </c>
      <c r="Z4" s="50" t="s">
        <v>25</v>
      </c>
      <c r="AA4" s="50">
        <f t="shared" si="0"/>
        <v>1</v>
      </c>
      <c r="AB4" s="68">
        <f t="shared" si="1"/>
        <v>0</v>
      </c>
      <c r="AD4" t="s">
        <v>43</v>
      </c>
      <c r="AE4" t="s">
        <v>42</v>
      </c>
      <c r="AF4" t="s">
        <v>42</v>
      </c>
      <c r="AG4" t="s">
        <v>51</v>
      </c>
      <c r="AH4" t="s">
        <v>190</v>
      </c>
      <c r="AI4" t="s">
        <v>199</v>
      </c>
      <c r="AJ4" t="s">
        <v>42</v>
      </c>
      <c r="AK4" t="s">
        <v>43</v>
      </c>
      <c r="AL4" t="s">
        <v>45</v>
      </c>
      <c r="AM4" t="s">
        <v>42</v>
      </c>
      <c r="AN4" t="s">
        <v>211</v>
      </c>
      <c r="AO4" t="s">
        <v>42</v>
      </c>
      <c r="AP4" t="s">
        <v>191</v>
      </c>
      <c r="AQ4" t="s">
        <v>51</v>
      </c>
      <c r="AR4" t="s">
        <v>47</v>
      </c>
      <c r="AS4" t="s">
        <v>43</v>
      </c>
      <c r="AT4" t="s">
        <v>47</v>
      </c>
      <c r="AU4" t="s">
        <v>47</v>
      </c>
      <c r="AV4" t="s">
        <v>190</v>
      </c>
      <c r="AW4" t="s">
        <v>192</v>
      </c>
    </row>
    <row r="5" spans="1:49" x14ac:dyDescent="0.2">
      <c r="A5" s="69">
        <v>11</v>
      </c>
      <c r="B5" s="50">
        <v>4.2847621433569802</v>
      </c>
      <c r="C5" s="50">
        <v>5.16458395452349</v>
      </c>
      <c r="D5" s="50">
        <v>-19.0407143966282</v>
      </c>
      <c r="E5" s="50">
        <v>-8.5406717492334394</v>
      </c>
      <c r="F5" s="50">
        <v>16.749950953741799</v>
      </c>
      <c r="G5" s="50">
        <v>-12.4161658393549</v>
      </c>
      <c r="H5" s="50">
        <v>-7.16092213320103</v>
      </c>
      <c r="I5" s="50">
        <v>16.749950953741799</v>
      </c>
      <c r="J5" s="50" t="s">
        <v>30</v>
      </c>
      <c r="K5" s="50">
        <v>0.28000000000000003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0.72</v>
      </c>
      <c r="X5" s="50">
        <v>0</v>
      </c>
      <c r="Y5" s="50" t="s">
        <v>25</v>
      </c>
      <c r="Z5" s="50" t="s">
        <v>23</v>
      </c>
      <c r="AA5" s="50">
        <f t="shared" si="0"/>
        <v>0</v>
      </c>
      <c r="AB5" s="68">
        <f t="shared" si="1"/>
        <v>0</v>
      </c>
      <c r="AD5" t="s">
        <v>193</v>
      </c>
      <c r="AE5" t="s">
        <v>196</v>
      </c>
      <c r="AF5" t="s">
        <v>191</v>
      </c>
      <c r="AG5" t="s">
        <v>47</v>
      </c>
      <c r="AH5" t="s">
        <v>191</v>
      </c>
      <c r="AI5" t="s">
        <v>199</v>
      </c>
      <c r="AJ5" t="s">
        <v>189</v>
      </c>
      <c r="AK5" t="s">
        <v>198</v>
      </c>
      <c r="AL5" t="s">
        <v>45</v>
      </c>
      <c r="AM5" t="s">
        <v>51</v>
      </c>
      <c r="AN5" t="s">
        <v>194</v>
      </c>
      <c r="AO5" t="s">
        <v>51</v>
      </c>
      <c r="AP5" t="s">
        <v>189</v>
      </c>
      <c r="AQ5" t="s">
        <v>47</v>
      </c>
      <c r="AR5" t="s">
        <v>42</v>
      </c>
      <c r="AS5" t="s">
        <v>43</v>
      </c>
      <c r="AT5" t="s">
        <v>191</v>
      </c>
      <c r="AU5" t="s">
        <v>42</v>
      </c>
      <c r="AV5" t="s">
        <v>190</v>
      </c>
      <c r="AW5" t="s">
        <v>192</v>
      </c>
    </row>
    <row r="6" spans="1:49" x14ac:dyDescent="0.2">
      <c r="A6" s="73">
        <v>18</v>
      </c>
      <c r="B6" s="71">
        <v>-11.1081539927871</v>
      </c>
      <c r="C6" s="71">
        <v>-5.5295369877730502</v>
      </c>
      <c r="D6" s="71">
        <v>3.3570025236928598</v>
      </c>
      <c r="E6" s="71">
        <v>-4.4362311372029604</v>
      </c>
      <c r="F6" s="71">
        <v>14.270010236113199</v>
      </c>
      <c r="G6" s="71">
        <v>-1.49076613725649</v>
      </c>
      <c r="H6" s="71">
        <v>32.806441376575499</v>
      </c>
      <c r="I6" s="71">
        <v>32.806441376575499</v>
      </c>
      <c r="J6" s="71" t="s">
        <v>25</v>
      </c>
      <c r="K6" s="71">
        <v>0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0.12</v>
      </c>
      <c r="S6" s="71">
        <v>0</v>
      </c>
      <c r="T6" s="71">
        <v>0</v>
      </c>
      <c r="U6" s="71">
        <v>0</v>
      </c>
      <c r="V6" s="71">
        <v>0</v>
      </c>
      <c r="W6" s="71">
        <v>0.88</v>
      </c>
      <c r="X6" s="71">
        <v>0</v>
      </c>
      <c r="Y6" s="71" t="s">
        <v>25</v>
      </c>
      <c r="Z6" s="71" t="s">
        <v>23</v>
      </c>
      <c r="AA6" s="71">
        <f t="shared" si="0"/>
        <v>1</v>
      </c>
      <c r="AB6" s="72">
        <f t="shared" si="1"/>
        <v>0</v>
      </c>
      <c r="AD6" t="s">
        <v>50</v>
      </c>
      <c r="AE6" t="s">
        <v>42</v>
      </c>
      <c r="AF6" t="s">
        <v>44</v>
      </c>
      <c r="AG6" t="s">
        <v>189</v>
      </c>
      <c r="AH6" t="s">
        <v>198</v>
      </c>
      <c r="AI6" t="s">
        <v>199</v>
      </c>
      <c r="AJ6" t="s">
        <v>42</v>
      </c>
      <c r="AK6" t="s">
        <v>191</v>
      </c>
      <c r="AL6" t="s">
        <v>45</v>
      </c>
      <c r="AM6" t="s">
        <v>190</v>
      </c>
      <c r="AN6" t="s">
        <v>189</v>
      </c>
      <c r="AO6" t="s">
        <v>190</v>
      </c>
      <c r="AP6" t="s">
        <v>51</v>
      </c>
      <c r="AQ6" t="s">
        <v>191</v>
      </c>
      <c r="AR6" t="s">
        <v>43</v>
      </c>
      <c r="AS6" t="s">
        <v>47</v>
      </c>
      <c r="AT6" t="s">
        <v>47</v>
      </c>
      <c r="AU6" t="s">
        <v>42</v>
      </c>
      <c r="AV6" t="s">
        <v>188</v>
      </c>
      <c r="AW6" t="s">
        <v>192</v>
      </c>
    </row>
    <row r="7" spans="1:49" x14ac:dyDescent="0.2">
      <c r="A7" s="74">
        <v>34</v>
      </c>
      <c r="B7" s="75">
        <v>18.5363437073994</v>
      </c>
      <c r="C7" s="75">
        <v>19.351744338464002</v>
      </c>
      <c r="D7" s="75">
        <v>2.8681308821372302</v>
      </c>
      <c r="E7" s="75">
        <v>2.5529482692348502</v>
      </c>
      <c r="F7" s="75">
        <v>19.447741749210799</v>
      </c>
      <c r="G7" s="75">
        <v>-13.724560398887499</v>
      </c>
      <c r="H7" s="75">
        <v>9.0422965283004597</v>
      </c>
      <c r="I7" s="75">
        <v>19.447741749210799</v>
      </c>
      <c r="J7" s="75" t="s">
        <v>30</v>
      </c>
      <c r="K7" s="75">
        <v>0.5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0.5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 t="s">
        <v>23</v>
      </c>
      <c r="Z7" s="75" t="s">
        <v>185</v>
      </c>
      <c r="AA7" s="75">
        <f t="shared" si="0"/>
        <v>0</v>
      </c>
      <c r="AB7" s="76">
        <f t="shared" si="1"/>
        <v>0</v>
      </c>
      <c r="AD7" t="s">
        <v>45</v>
      </c>
      <c r="AE7" t="s">
        <v>188</v>
      </c>
      <c r="AF7" t="s">
        <v>51</v>
      </c>
      <c r="AG7" t="s">
        <v>198</v>
      </c>
      <c r="AH7" t="s">
        <v>191</v>
      </c>
      <c r="AI7" t="s">
        <v>199</v>
      </c>
      <c r="AJ7" t="s">
        <v>198</v>
      </c>
      <c r="AK7" t="s">
        <v>43</v>
      </c>
      <c r="AL7" t="s">
        <v>45</v>
      </c>
      <c r="AM7" t="s">
        <v>51</v>
      </c>
      <c r="AN7" t="s">
        <v>211</v>
      </c>
      <c r="AO7" t="s">
        <v>189</v>
      </c>
      <c r="AP7" t="s">
        <v>198</v>
      </c>
      <c r="AQ7" t="s">
        <v>47</v>
      </c>
      <c r="AR7" t="s">
        <v>43</v>
      </c>
      <c r="AS7" t="s">
        <v>43</v>
      </c>
      <c r="AT7" t="s">
        <v>47</v>
      </c>
      <c r="AU7" t="s">
        <v>191</v>
      </c>
      <c r="AV7" t="s">
        <v>42</v>
      </c>
      <c r="AW7" t="s">
        <v>192</v>
      </c>
    </row>
    <row r="8" spans="1:49" x14ac:dyDescent="0.2">
      <c r="A8" s="64">
        <v>39</v>
      </c>
      <c r="B8" s="65">
        <v>44.840338748209</v>
      </c>
      <c r="C8" s="65">
        <v>41.564616917072698</v>
      </c>
      <c r="D8" s="65">
        <v>4.9441978998772598</v>
      </c>
      <c r="E8" s="65">
        <v>40.815976301138299</v>
      </c>
      <c r="F8" s="65">
        <v>22.070691176100599</v>
      </c>
      <c r="G8" s="65">
        <v>-11.246500834954199</v>
      </c>
      <c r="H8" s="65">
        <v>18.001562574774599</v>
      </c>
      <c r="I8" s="65">
        <v>44.840338748209</v>
      </c>
      <c r="J8" s="65" t="s">
        <v>23</v>
      </c>
      <c r="K8" s="65">
        <v>0</v>
      </c>
      <c r="L8" s="65">
        <v>0.41666666666666702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0.58333333333333304</v>
      </c>
      <c r="V8" s="65">
        <v>0</v>
      </c>
      <c r="W8" s="65">
        <v>0</v>
      </c>
      <c r="X8" s="65">
        <v>0</v>
      </c>
      <c r="Y8" s="65" t="s">
        <v>186</v>
      </c>
      <c r="Z8" s="65" t="s">
        <v>22</v>
      </c>
      <c r="AA8" s="65">
        <f t="shared" si="0"/>
        <v>0</v>
      </c>
      <c r="AB8" s="66">
        <f t="shared" si="1"/>
        <v>0</v>
      </c>
      <c r="AD8" t="s">
        <v>43</v>
      </c>
      <c r="AE8" t="s">
        <v>188</v>
      </c>
      <c r="AF8" t="s">
        <v>191</v>
      </c>
      <c r="AG8" t="s">
        <v>51</v>
      </c>
      <c r="AH8" t="s">
        <v>198</v>
      </c>
      <c r="AI8" t="s">
        <v>199</v>
      </c>
      <c r="AJ8" t="s">
        <v>51</v>
      </c>
      <c r="AK8" t="s">
        <v>43</v>
      </c>
      <c r="AL8" t="s">
        <v>45</v>
      </c>
      <c r="AM8" t="s">
        <v>42</v>
      </c>
      <c r="AN8" t="s">
        <v>191</v>
      </c>
      <c r="AO8" t="s">
        <v>51</v>
      </c>
      <c r="AP8" t="s">
        <v>47</v>
      </c>
      <c r="AQ8" t="s">
        <v>51</v>
      </c>
      <c r="AR8" t="s">
        <v>42</v>
      </c>
      <c r="AS8" t="s">
        <v>43</v>
      </c>
      <c r="AT8" t="s">
        <v>47</v>
      </c>
      <c r="AU8" t="s">
        <v>51</v>
      </c>
      <c r="AV8" t="s">
        <v>190</v>
      </c>
      <c r="AW8" t="s">
        <v>192</v>
      </c>
    </row>
    <row r="9" spans="1:49" x14ac:dyDescent="0.2">
      <c r="A9" s="69">
        <v>42</v>
      </c>
      <c r="B9" s="50">
        <v>41.109861192329603</v>
      </c>
      <c r="C9" s="50">
        <v>28.996636776170199</v>
      </c>
      <c r="D9" s="50">
        <v>14.2732122583808</v>
      </c>
      <c r="E9" s="50">
        <v>23.638599931545901</v>
      </c>
      <c r="F9" s="50">
        <v>25.613777073119</v>
      </c>
      <c r="G9" s="50">
        <v>-21.259399561398201</v>
      </c>
      <c r="H9" s="50">
        <v>15.5069985795735</v>
      </c>
      <c r="I9" s="50">
        <v>41.109861192329603</v>
      </c>
      <c r="J9" s="50" t="s">
        <v>23</v>
      </c>
      <c r="K9" s="50">
        <v>0.29166666666666702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0.70833333333333304</v>
      </c>
      <c r="X9" s="50">
        <v>0</v>
      </c>
      <c r="Y9" s="50" t="s">
        <v>25</v>
      </c>
      <c r="Z9" s="50" t="s">
        <v>23</v>
      </c>
      <c r="AA9" s="50">
        <f t="shared" si="0"/>
        <v>0</v>
      </c>
      <c r="AB9" s="68">
        <f t="shared" si="1"/>
        <v>1</v>
      </c>
      <c r="AD9" t="s">
        <v>42</v>
      </c>
      <c r="AE9" t="s">
        <v>188</v>
      </c>
      <c r="AF9" t="s">
        <v>191</v>
      </c>
      <c r="AG9" t="s">
        <v>191</v>
      </c>
      <c r="AH9" t="s">
        <v>51</v>
      </c>
      <c r="AI9" t="s">
        <v>199</v>
      </c>
      <c r="AJ9" t="s">
        <v>51</v>
      </c>
      <c r="AK9" t="s">
        <v>43</v>
      </c>
      <c r="AL9" t="s">
        <v>45</v>
      </c>
      <c r="AM9" t="s">
        <v>197</v>
      </c>
      <c r="AN9" t="s">
        <v>191</v>
      </c>
      <c r="AO9" t="s">
        <v>51</v>
      </c>
      <c r="AP9" t="s">
        <v>191</v>
      </c>
      <c r="AQ9" t="s">
        <v>51</v>
      </c>
      <c r="AR9" t="s">
        <v>197</v>
      </c>
      <c r="AS9" t="s">
        <v>43</v>
      </c>
      <c r="AT9" t="s">
        <v>47</v>
      </c>
      <c r="AU9" t="s">
        <v>194</v>
      </c>
      <c r="AV9" t="s">
        <v>190</v>
      </c>
      <c r="AW9" t="s">
        <v>192</v>
      </c>
    </row>
    <row r="10" spans="1:49" x14ac:dyDescent="0.2">
      <c r="A10" s="69">
        <v>44</v>
      </c>
      <c r="B10" s="50">
        <v>22.418924601439802</v>
      </c>
      <c r="C10" s="50">
        <v>9.0503679493516405</v>
      </c>
      <c r="D10" s="50">
        <v>0.16668441807264001</v>
      </c>
      <c r="E10" s="50">
        <v>22.905667569923001</v>
      </c>
      <c r="F10" s="50">
        <v>14.895043435627899</v>
      </c>
      <c r="G10" s="50">
        <v>-10.537055548597101</v>
      </c>
      <c r="H10" s="50">
        <v>15.763812723802101</v>
      </c>
      <c r="I10" s="50">
        <v>22.905667569923001</v>
      </c>
      <c r="J10" s="50" t="s">
        <v>26</v>
      </c>
      <c r="K10" s="50">
        <v>0.5</v>
      </c>
      <c r="L10" s="50">
        <v>4.1666666666666699E-2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0.16666666666666699</v>
      </c>
      <c r="S10" s="50">
        <v>0</v>
      </c>
      <c r="T10" s="50">
        <v>0</v>
      </c>
      <c r="U10" s="50">
        <v>0</v>
      </c>
      <c r="V10" s="50">
        <v>0</v>
      </c>
      <c r="W10" s="50">
        <v>0.29166666666666702</v>
      </c>
      <c r="X10" s="50">
        <v>0</v>
      </c>
      <c r="Y10" s="50" t="s">
        <v>23</v>
      </c>
      <c r="Z10" s="50" t="s">
        <v>25</v>
      </c>
      <c r="AA10" s="50">
        <f t="shared" si="0"/>
        <v>0</v>
      </c>
      <c r="AB10" s="68">
        <f t="shared" si="1"/>
        <v>0</v>
      </c>
      <c r="AD10" t="s">
        <v>43</v>
      </c>
      <c r="AE10" t="s">
        <v>42</v>
      </c>
      <c r="AF10" t="s">
        <v>42</v>
      </c>
      <c r="AG10" t="s">
        <v>51</v>
      </c>
      <c r="AH10" t="s">
        <v>42</v>
      </c>
      <c r="AI10" t="s">
        <v>199</v>
      </c>
      <c r="AJ10" t="s">
        <v>42</v>
      </c>
      <c r="AK10" t="s">
        <v>43</v>
      </c>
      <c r="AL10" t="s">
        <v>45</v>
      </c>
      <c r="AM10" t="s">
        <v>42</v>
      </c>
      <c r="AN10" t="s">
        <v>211</v>
      </c>
      <c r="AO10" t="s">
        <v>190</v>
      </c>
      <c r="AP10" t="s">
        <v>191</v>
      </c>
      <c r="AQ10" t="s">
        <v>51</v>
      </c>
      <c r="AR10" t="s">
        <v>47</v>
      </c>
      <c r="AS10" t="s">
        <v>43</v>
      </c>
      <c r="AT10" t="s">
        <v>47</v>
      </c>
      <c r="AU10" t="s">
        <v>47</v>
      </c>
      <c r="AV10" t="s">
        <v>190</v>
      </c>
      <c r="AW10" t="s">
        <v>192</v>
      </c>
    </row>
    <row r="11" spans="1:49" x14ac:dyDescent="0.2">
      <c r="A11" s="69">
        <v>45</v>
      </c>
      <c r="B11" s="50">
        <v>5.20780359484095</v>
      </c>
      <c r="C11" s="50">
        <v>36.920797984707299</v>
      </c>
      <c r="D11" s="50">
        <v>-6.3706336119824298</v>
      </c>
      <c r="E11" s="50">
        <v>8.9227931215694394</v>
      </c>
      <c r="F11" s="50">
        <v>16.745747061030698</v>
      </c>
      <c r="G11" s="50">
        <v>-10.8927520109282</v>
      </c>
      <c r="H11" s="50">
        <v>43.747119219157</v>
      </c>
      <c r="I11" s="50">
        <v>43.747119219157</v>
      </c>
      <c r="J11" s="50" t="s">
        <v>25</v>
      </c>
      <c r="K11" s="50">
        <v>0.33333333333333298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0.66666666666666696</v>
      </c>
      <c r="X11" s="50">
        <v>0</v>
      </c>
      <c r="Y11" s="50" t="s">
        <v>25</v>
      </c>
      <c r="Z11" s="50" t="s">
        <v>23</v>
      </c>
      <c r="AA11" s="50">
        <f t="shared" si="0"/>
        <v>1</v>
      </c>
      <c r="AB11" s="68">
        <f t="shared" si="1"/>
        <v>0</v>
      </c>
      <c r="AD11" t="s">
        <v>195</v>
      </c>
      <c r="AE11" t="s">
        <v>188</v>
      </c>
      <c r="AF11" t="s">
        <v>51</v>
      </c>
      <c r="AG11" t="s">
        <v>51</v>
      </c>
      <c r="AH11" t="s">
        <v>47</v>
      </c>
      <c r="AI11" t="s">
        <v>199</v>
      </c>
      <c r="AJ11" t="s">
        <v>42</v>
      </c>
      <c r="AK11" t="s">
        <v>189</v>
      </c>
      <c r="AL11" t="s">
        <v>45</v>
      </c>
      <c r="AM11" t="s">
        <v>188</v>
      </c>
      <c r="AN11" t="s">
        <v>51</v>
      </c>
      <c r="AO11" t="s">
        <v>198</v>
      </c>
      <c r="AP11" t="s">
        <v>51</v>
      </c>
      <c r="AQ11" t="s">
        <v>47</v>
      </c>
      <c r="AR11" t="s">
        <v>42</v>
      </c>
      <c r="AS11" t="s">
        <v>42</v>
      </c>
      <c r="AT11" t="s">
        <v>47</v>
      </c>
      <c r="AU11" t="s">
        <v>191</v>
      </c>
      <c r="AV11" t="s">
        <v>196</v>
      </c>
      <c r="AW11" t="s">
        <v>192</v>
      </c>
    </row>
    <row r="12" spans="1:49" x14ac:dyDescent="0.2">
      <c r="A12" s="67">
        <v>46</v>
      </c>
      <c r="B12" s="50">
        <v>57.563408606007201</v>
      </c>
      <c r="C12" s="50">
        <v>38.625558579773703</v>
      </c>
      <c r="D12" s="50">
        <v>4.3357268394319304</v>
      </c>
      <c r="E12" s="50">
        <v>42.636570881037699</v>
      </c>
      <c r="F12" s="50">
        <v>27.592447748648599</v>
      </c>
      <c r="G12" s="50">
        <v>-18.278874530916202</v>
      </c>
      <c r="H12" s="50">
        <v>17.2551698684203</v>
      </c>
      <c r="I12" s="50">
        <v>57.563408606007201</v>
      </c>
      <c r="J12" s="50" t="s">
        <v>23</v>
      </c>
      <c r="K12" s="50">
        <v>0.54166666666666696</v>
      </c>
      <c r="L12" s="50">
        <v>8.3333333333333301E-2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4.1666666666666699E-2</v>
      </c>
      <c r="S12" s="50">
        <v>0</v>
      </c>
      <c r="T12" s="50">
        <v>0</v>
      </c>
      <c r="U12" s="50">
        <v>0</v>
      </c>
      <c r="V12" s="50">
        <v>0</v>
      </c>
      <c r="W12" s="50">
        <v>0.33333333333333298</v>
      </c>
      <c r="X12" s="50">
        <v>0</v>
      </c>
      <c r="Y12" s="50" t="s">
        <v>23</v>
      </c>
      <c r="Z12" s="50" t="s">
        <v>25</v>
      </c>
      <c r="AA12" s="50">
        <f t="shared" si="0"/>
        <v>1</v>
      </c>
      <c r="AB12" s="68">
        <f t="shared" si="1"/>
        <v>0</v>
      </c>
      <c r="AD12" t="s">
        <v>43</v>
      </c>
      <c r="AE12" t="s">
        <v>188</v>
      </c>
      <c r="AF12" t="s">
        <v>191</v>
      </c>
      <c r="AG12" t="s">
        <v>51</v>
      </c>
      <c r="AH12" t="s">
        <v>198</v>
      </c>
      <c r="AI12" t="s">
        <v>199</v>
      </c>
      <c r="AJ12" t="s">
        <v>51</v>
      </c>
      <c r="AK12" t="s">
        <v>43</v>
      </c>
      <c r="AL12" t="s">
        <v>45</v>
      </c>
      <c r="AM12" t="s">
        <v>43</v>
      </c>
      <c r="AN12" t="s">
        <v>194</v>
      </c>
      <c r="AO12" t="s">
        <v>51</v>
      </c>
      <c r="AP12" t="s">
        <v>51</v>
      </c>
      <c r="AQ12" t="s">
        <v>51</v>
      </c>
      <c r="AR12" t="s">
        <v>42</v>
      </c>
      <c r="AS12" t="s">
        <v>43</v>
      </c>
      <c r="AT12" t="s">
        <v>197</v>
      </c>
      <c r="AU12" t="s">
        <v>189</v>
      </c>
      <c r="AV12" t="s">
        <v>190</v>
      </c>
      <c r="AW12" t="s">
        <v>192</v>
      </c>
    </row>
    <row r="13" spans="1:49" x14ac:dyDescent="0.2">
      <c r="A13" s="69">
        <v>47</v>
      </c>
      <c r="B13" s="50">
        <v>17.283854599788999</v>
      </c>
      <c r="C13" s="50">
        <v>10.8673972889959</v>
      </c>
      <c r="D13" s="50">
        <v>-18.157236582227</v>
      </c>
      <c r="E13" s="50">
        <v>24.6917390002932</v>
      </c>
      <c r="F13" s="50">
        <v>3.0363208119425402</v>
      </c>
      <c r="G13" s="50">
        <v>-17.4920967907834</v>
      </c>
      <c r="H13" s="50">
        <v>0.32661711239285801</v>
      </c>
      <c r="I13" s="50">
        <v>24.6917390002932</v>
      </c>
      <c r="J13" s="50" t="s">
        <v>26</v>
      </c>
      <c r="K13" s="50">
        <v>4.1666666666666699E-2</v>
      </c>
      <c r="L13" s="50">
        <v>0.95833333333333304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 t="s">
        <v>22</v>
      </c>
      <c r="Z13" s="50" t="s">
        <v>23</v>
      </c>
      <c r="AA13" s="50">
        <f t="shared" si="0"/>
        <v>0</v>
      </c>
      <c r="AB13" s="68">
        <f t="shared" si="1"/>
        <v>0</v>
      </c>
      <c r="AD13" t="s">
        <v>43</v>
      </c>
      <c r="AE13" t="s">
        <v>196</v>
      </c>
      <c r="AF13" t="s">
        <v>191</v>
      </c>
      <c r="AG13" t="s">
        <v>51</v>
      </c>
      <c r="AH13" t="s">
        <v>190</v>
      </c>
      <c r="AI13" t="s">
        <v>199</v>
      </c>
      <c r="AJ13" t="s">
        <v>47</v>
      </c>
      <c r="AK13" t="s">
        <v>43</v>
      </c>
      <c r="AL13" t="s">
        <v>45</v>
      </c>
      <c r="AM13" t="s">
        <v>44</v>
      </c>
      <c r="AN13" t="s">
        <v>194</v>
      </c>
      <c r="AO13" t="s">
        <v>198</v>
      </c>
      <c r="AP13" t="s">
        <v>51</v>
      </c>
      <c r="AQ13" t="s">
        <v>51</v>
      </c>
      <c r="AR13" t="s">
        <v>42</v>
      </c>
      <c r="AS13" t="s">
        <v>42</v>
      </c>
      <c r="AT13" t="s">
        <v>47</v>
      </c>
      <c r="AU13" t="s">
        <v>194</v>
      </c>
      <c r="AV13" t="s">
        <v>188</v>
      </c>
      <c r="AW13" t="s">
        <v>193</v>
      </c>
    </row>
    <row r="14" spans="1:49" x14ac:dyDescent="0.2">
      <c r="A14" s="69">
        <v>48</v>
      </c>
      <c r="B14" s="50">
        <v>4.2439338736998202</v>
      </c>
      <c r="C14" s="50">
        <v>5.6099727675467301</v>
      </c>
      <c r="D14" s="50">
        <v>-19.6990017168355</v>
      </c>
      <c r="E14" s="50">
        <v>-7.4469213578842899</v>
      </c>
      <c r="F14" s="50">
        <v>15.9562378500463</v>
      </c>
      <c r="G14" s="50">
        <v>-13.1204607044161</v>
      </c>
      <c r="H14" s="50">
        <v>-5.7514667860541602</v>
      </c>
      <c r="I14" s="50">
        <v>15.9562378500463</v>
      </c>
      <c r="J14" s="50" t="s">
        <v>30</v>
      </c>
      <c r="K14" s="50">
        <v>0.375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0.625</v>
      </c>
      <c r="X14" s="50">
        <v>0</v>
      </c>
      <c r="Y14" s="50" t="s">
        <v>25</v>
      </c>
      <c r="Z14" s="50" t="s">
        <v>23</v>
      </c>
      <c r="AA14" s="50">
        <f t="shared" si="0"/>
        <v>0</v>
      </c>
      <c r="AB14" s="68">
        <f t="shared" si="1"/>
        <v>0</v>
      </c>
      <c r="AD14" t="s">
        <v>193</v>
      </c>
      <c r="AE14" t="s">
        <v>196</v>
      </c>
      <c r="AF14" t="s">
        <v>191</v>
      </c>
      <c r="AG14" t="s">
        <v>47</v>
      </c>
      <c r="AH14" t="s">
        <v>191</v>
      </c>
      <c r="AI14" t="s">
        <v>199</v>
      </c>
      <c r="AJ14" t="s">
        <v>189</v>
      </c>
      <c r="AK14" t="s">
        <v>198</v>
      </c>
      <c r="AL14" t="s">
        <v>45</v>
      </c>
      <c r="AM14" t="s">
        <v>51</v>
      </c>
      <c r="AN14" t="s">
        <v>194</v>
      </c>
      <c r="AO14" t="s">
        <v>51</v>
      </c>
      <c r="AP14" t="s">
        <v>189</v>
      </c>
      <c r="AQ14" t="s">
        <v>47</v>
      </c>
      <c r="AR14" t="s">
        <v>42</v>
      </c>
      <c r="AS14" t="s">
        <v>43</v>
      </c>
      <c r="AT14" t="s">
        <v>191</v>
      </c>
      <c r="AU14" t="s">
        <v>190</v>
      </c>
      <c r="AV14" t="s">
        <v>190</v>
      </c>
      <c r="AW14" t="s">
        <v>192</v>
      </c>
    </row>
    <row r="15" spans="1:49" x14ac:dyDescent="0.2">
      <c r="A15" s="70">
        <v>53</v>
      </c>
      <c r="B15" s="71">
        <v>39.716463040987797</v>
      </c>
      <c r="C15" s="71">
        <v>22.854333785684599</v>
      </c>
      <c r="D15" s="71">
        <v>-9.4410009145290399</v>
      </c>
      <c r="E15" s="71">
        <v>9.3970935432120903</v>
      </c>
      <c r="F15" s="71">
        <v>20.684131399252699</v>
      </c>
      <c r="G15" s="71">
        <v>-10.0257788530564</v>
      </c>
      <c r="H15" s="71">
        <v>8.7734935882820295</v>
      </c>
      <c r="I15" s="71">
        <v>39.716463040987797</v>
      </c>
      <c r="J15" s="71" t="s">
        <v>23</v>
      </c>
      <c r="K15" s="71">
        <v>0.29166666666666702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0.70833333333333304</v>
      </c>
      <c r="X15" s="71">
        <v>0</v>
      </c>
      <c r="Y15" s="71" t="s">
        <v>25</v>
      </c>
      <c r="Z15" s="71" t="s">
        <v>23</v>
      </c>
      <c r="AA15" s="71">
        <f t="shared" si="0"/>
        <v>0</v>
      </c>
      <c r="AB15" s="72">
        <f t="shared" si="1"/>
        <v>1</v>
      </c>
      <c r="AD15" t="s">
        <v>196</v>
      </c>
      <c r="AE15" t="s">
        <v>188</v>
      </c>
      <c r="AF15" t="s">
        <v>198</v>
      </c>
      <c r="AG15" t="s">
        <v>198</v>
      </c>
      <c r="AH15" t="s">
        <v>190</v>
      </c>
      <c r="AI15" t="s">
        <v>199</v>
      </c>
      <c r="AJ15" t="s">
        <v>198</v>
      </c>
      <c r="AK15" t="s">
        <v>42</v>
      </c>
      <c r="AL15" t="s">
        <v>45</v>
      </c>
      <c r="AM15" t="s">
        <v>51</v>
      </c>
      <c r="AN15" t="s">
        <v>211</v>
      </c>
      <c r="AO15" t="s">
        <v>51</v>
      </c>
      <c r="AP15" t="s">
        <v>189</v>
      </c>
      <c r="AQ15" t="s">
        <v>51</v>
      </c>
      <c r="AR15" t="s">
        <v>42</v>
      </c>
      <c r="AS15" t="s">
        <v>43</v>
      </c>
      <c r="AT15" t="s">
        <v>47</v>
      </c>
      <c r="AU15" t="s">
        <v>47</v>
      </c>
      <c r="AV15" t="s">
        <v>190</v>
      </c>
      <c r="AW15" t="s">
        <v>192</v>
      </c>
    </row>
    <row r="16" spans="1:49" x14ac:dyDescent="0.2">
      <c r="A16" s="64">
        <v>59</v>
      </c>
      <c r="B16" s="65">
        <v>38.349855736555298</v>
      </c>
      <c r="C16" s="65">
        <v>27.1377097890343</v>
      </c>
      <c r="D16" s="65">
        <v>0.77457840050161797</v>
      </c>
      <c r="E16" s="65">
        <v>19.471505148491801</v>
      </c>
      <c r="F16" s="65">
        <v>44.319443580376301</v>
      </c>
      <c r="G16" s="65">
        <v>2.1487927771461499</v>
      </c>
      <c r="H16" s="65">
        <v>21.4738987069878</v>
      </c>
      <c r="I16" s="65">
        <v>44.319443580376301</v>
      </c>
      <c r="J16" s="65" t="s">
        <v>30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0.66666666666666696</v>
      </c>
      <c r="S16" s="65">
        <v>0</v>
      </c>
      <c r="T16" s="65">
        <v>0</v>
      </c>
      <c r="U16" s="65">
        <v>0</v>
      </c>
      <c r="V16" s="65">
        <v>0</v>
      </c>
      <c r="W16" s="65">
        <v>0.33333333333333298</v>
      </c>
      <c r="X16" s="65">
        <v>0</v>
      </c>
      <c r="Y16" s="65" t="s">
        <v>30</v>
      </c>
      <c r="Z16" s="65" t="s">
        <v>25</v>
      </c>
      <c r="AA16" s="65">
        <f t="shared" si="0"/>
        <v>1</v>
      </c>
      <c r="AB16" s="66">
        <f t="shared" si="1"/>
        <v>0</v>
      </c>
      <c r="AD16" t="s">
        <v>42</v>
      </c>
      <c r="AE16" t="s">
        <v>188</v>
      </c>
      <c r="AF16" t="s">
        <v>198</v>
      </c>
      <c r="AG16" t="s">
        <v>51</v>
      </c>
      <c r="AH16" t="s">
        <v>198</v>
      </c>
      <c r="AI16" t="s">
        <v>199</v>
      </c>
      <c r="AJ16" t="s">
        <v>198</v>
      </c>
      <c r="AK16" t="s">
        <v>43</v>
      </c>
      <c r="AL16" t="s">
        <v>45</v>
      </c>
      <c r="AM16" t="s">
        <v>50</v>
      </c>
      <c r="AN16" t="s">
        <v>189</v>
      </c>
      <c r="AO16" t="s">
        <v>47</v>
      </c>
      <c r="AP16" t="s">
        <v>51</v>
      </c>
      <c r="AQ16" t="s">
        <v>191</v>
      </c>
      <c r="AR16" t="s">
        <v>43</v>
      </c>
      <c r="AS16" t="s">
        <v>43</v>
      </c>
      <c r="AT16" t="s">
        <v>47</v>
      </c>
      <c r="AU16" t="s">
        <v>197</v>
      </c>
      <c r="AV16" t="s">
        <v>190</v>
      </c>
      <c r="AW16" t="s">
        <v>192</v>
      </c>
    </row>
    <row r="17" spans="1:49" x14ac:dyDescent="0.2">
      <c r="A17" s="70">
        <v>62</v>
      </c>
      <c r="B17" s="71">
        <v>41.202222528847301</v>
      </c>
      <c r="C17" s="71">
        <v>31.276946130848899</v>
      </c>
      <c r="D17" s="71">
        <v>4.2176566772855804</v>
      </c>
      <c r="E17" s="71">
        <v>39.907698784245802</v>
      </c>
      <c r="F17" s="71">
        <v>21.7687062501418</v>
      </c>
      <c r="G17" s="71">
        <v>-14.8244134126908</v>
      </c>
      <c r="H17" s="71">
        <v>19.526274828738099</v>
      </c>
      <c r="I17" s="71">
        <v>41.202222528847301</v>
      </c>
      <c r="J17" s="71" t="s">
        <v>23</v>
      </c>
      <c r="K17" s="71">
        <v>0.66666666666666696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0.33333333333333298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 t="s">
        <v>23</v>
      </c>
      <c r="Z17" s="71" t="s">
        <v>185</v>
      </c>
      <c r="AA17" s="71">
        <f t="shared" si="0"/>
        <v>1</v>
      </c>
      <c r="AB17" s="72">
        <f t="shared" si="1"/>
        <v>0</v>
      </c>
      <c r="AD17" t="s">
        <v>43</v>
      </c>
      <c r="AE17" t="s">
        <v>188</v>
      </c>
      <c r="AF17" t="s">
        <v>191</v>
      </c>
      <c r="AG17" t="s">
        <v>51</v>
      </c>
      <c r="AH17" t="s">
        <v>190</v>
      </c>
      <c r="AI17" t="s">
        <v>199</v>
      </c>
      <c r="AJ17" t="s">
        <v>197</v>
      </c>
      <c r="AK17" t="s">
        <v>43</v>
      </c>
      <c r="AL17" t="s">
        <v>45</v>
      </c>
      <c r="AM17" t="s">
        <v>188</v>
      </c>
      <c r="AN17" t="s">
        <v>211</v>
      </c>
      <c r="AO17" t="s">
        <v>51</v>
      </c>
      <c r="AP17" t="s">
        <v>47</v>
      </c>
      <c r="AQ17" t="s">
        <v>51</v>
      </c>
      <c r="AR17" t="s">
        <v>47</v>
      </c>
      <c r="AS17" t="s">
        <v>43</v>
      </c>
      <c r="AT17" t="s">
        <v>47</v>
      </c>
      <c r="AU17" t="s">
        <v>47</v>
      </c>
      <c r="AV17" t="s">
        <v>190</v>
      </c>
      <c r="AW17" t="s">
        <v>192</v>
      </c>
    </row>
    <row r="18" spans="1:49" x14ac:dyDescent="0.2">
      <c r="A18" s="64">
        <v>74</v>
      </c>
      <c r="B18" s="65">
        <v>47.265408123290499</v>
      </c>
      <c r="C18" s="65">
        <v>38.7933584399795</v>
      </c>
      <c r="D18" s="65">
        <v>3.4832094858698301</v>
      </c>
      <c r="E18" s="65">
        <v>28.375198581990901</v>
      </c>
      <c r="F18" s="65">
        <v>32.179467777254303</v>
      </c>
      <c r="G18" s="65">
        <v>-4.3570693636434497</v>
      </c>
      <c r="H18" s="65">
        <v>19.978848263065</v>
      </c>
      <c r="I18" s="65">
        <v>47.265408123290499</v>
      </c>
      <c r="J18" s="65" t="s">
        <v>23</v>
      </c>
      <c r="K18" s="65">
        <v>0.54545454545454497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0.45454545454545497</v>
      </c>
      <c r="X18" s="65">
        <v>0</v>
      </c>
      <c r="Y18" s="65" t="s">
        <v>23</v>
      </c>
      <c r="Z18" s="65" t="s">
        <v>25</v>
      </c>
      <c r="AA18" s="65">
        <f t="shared" si="0"/>
        <v>1</v>
      </c>
      <c r="AB18" s="66">
        <f t="shared" si="1"/>
        <v>0</v>
      </c>
      <c r="AD18" t="s">
        <v>196</v>
      </c>
      <c r="AE18" t="s">
        <v>188</v>
      </c>
      <c r="AF18" t="s">
        <v>51</v>
      </c>
      <c r="AG18" t="s">
        <v>51</v>
      </c>
      <c r="AH18" t="s">
        <v>198</v>
      </c>
      <c r="AI18" t="s">
        <v>199</v>
      </c>
      <c r="AJ18" t="s">
        <v>198</v>
      </c>
      <c r="AK18" t="s">
        <v>43</v>
      </c>
      <c r="AL18" t="s">
        <v>45</v>
      </c>
      <c r="AM18" t="s">
        <v>42</v>
      </c>
      <c r="AN18" t="s">
        <v>189</v>
      </c>
      <c r="AO18" t="s">
        <v>47</v>
      </c>
      <c r="AP18" t="s">
        <v>191</v>
      </c>
      <c r="AQ18" t="s">
        <v>51</v>
      </c>
      <c r="AR18" t="s">
        <v>42</v>
      </c>
      <c r="AS18" t="s">
        <v>43</v>
      </c>
      <c r="AT18" t="s">
        <v>47</v>
      </c>
      <c r="AU18" t="s">
        <v>51</v>
      </c>
      <c r="AV18" t="s">
        <v>190</v>
      </c>
      <c r="AW18" t="s">
        <v>192</v>
      </c>
    </row>
    <row r="19" spans="1:49" x14ac:dyDescent="0.2">
      <c r="A19" s="69">
        <v>75</v>
      </c>
      <c r="B19" s="50">
        <v>-22.216741513571499</v>
      </c>
      <c r="C19" s="50">
        <v>-12.985240689583099</v>
      </c>
      <c r="D19" s="50">
        <v>3.9941399346006499</v>
      </c>
      <c r="E19" s="50">
        <v>-6.4138342184023296</v>
      </c>
      <c r="F19" s="50">
        <v>5.1463779436305597</v>
      </c>
      <c r="G19" s="50">
        <v>12.992997602343401</v>
      </c>
      <c r="H19" s="50">
        <v>1.6769632438516699</v>
      </c>
      <c r="I19" s="50">
        <v>12.992997602343401</v>
      </c>
      <c r="J19" s="50" t="s">
        <v>28</v>
      </c>
      <c r="K19" s="50">
        <v>0</v>
      </c>
      <c r="L19" s="50">
        <v>0</v>
      </c>
      <c r="M19" s="50">
        <v>0.13636363636363599</v>
      </c>
      <c r="N19" s="50">
        <v>0.86363636363636398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 t="s">
        <v>24</v>
      </c>
      <c r="Z19" s="50" t="s">
        <v>184</v>
      </c>
      <c r="AA19" s="50">
        <f t="shared" si="0"/>
        <v>0</v>
      </c>
      <c r="AB19" s="68">
        <f t="shared" si="1"/>
        <v>0</v>
      </c>
      <c r="AD19" t="s">
        <v>51</v>
      </c>
      <c r="AE19" t="s">
        <v>188</v>
      </c>
      <c r="AF19" t="s">
        <v>210</v>
      </c>
      <c r="AG19" t="s">
        <v>189</v>
      </c>
      <c r="AH19" t="s">
        <v>188</v>
      </c>
      <c r="AI19" t="s">
        <v>199</v>
      </c>
      <c r="AJ19" t="s">
        <v>47</v>
      </c>
      <c r="AK19" t="s">
        <v>51</v>
      </c>
      <c r="AL19" t="s">
        <v>45</v>
      </c>
      <c r="AM19" t="s">
        <v>47</v>
      </c>
      <c r="AN19" t="s">
        <v>197</v>
      </c>
      <c r="AO19" t="s">
        <v>190</v>
      </c>
      <c r="AP19" t="s">
        <v>197</v>
      </c>
      <c r="AQ19" t="s">
        <v>198</v>
      </c>
      <c r="AR19" t="s">
        <v>43</v>
      </c>
      <c r="AS19" t="s">
        <v>42</v>
      </c>
      <c r="AT19" t="s">
        <v>47</v>
      </c>
      <c r="AU19" t="s">
        <v>199</v>
      </c>
      <c r="AV19" t="s">
        <v>42</v>
      </c>
      <c r="AW19" t="s">
        <v>192</v>
      </c>
    </row>
    <row r="20" spans="1:49" x14ac:dyDescent="0.2">
      <c r="A20" s="69">
        <v>76</v>
      </c>
      <c r="B20" s="50">
        <v>0.27121855782791698</v>
      </c>
      <c r="C20" s="50">
        <v>29.241505405460298</v>
      </c>
      <c r="D20" s="50">
        <v>-7.8048548956072796</v>
      </c>
      <c r="E20" s="50">
        <v>5.1794611528756596</v>
      </c>
      <c r="F20" s="50">
        <v>23.3586283199534</v>
      </c>
      <c r="G20" s="50">
        <v>-5.31607203817358</v>
      </c>
      <c r="H20" s="50">
        <v>34.259033305445001</v>
      </c>
      <c r="I20" s="50">
        <v>34.259033305445001</v>
      </c>
      <c r="J20" s="50" t="s">
        <v>25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0.5</v>
      </c>
      <c r="S20" s="50">
        <v>0</v>
      </c>
      <c r="T20" s="50">
        <v>0</v>
      </c>
      <c r="U20" s="50">
        <v>0</v>
      </c>
      <c r="V20" s="50">
        <v>0</v>
      </c>
      <c r="W20" s="50">
        <v>0.5</v>
      </c>
      <c r="X20" s="50">
        <v>0</v>
      </c>
      <c r="Y20" s="50" t="s">
        <v>30</v>
      </c>
      <c r="Z20" s="50" t="s">
        <v>25</v>
      </c>
      <c r="AA20" s="50">
        <f t="shared" si="0"/>
        <v>0</v>
      </c>
      <c r="AB20" s="68">
        <f t="shared" si="1"/>
        <v>1</v>
      </c>
      <c r="AD20" t="s">
        <v>192</v>
      </c>
      <c r="AE20" t="s">
        <v>188</v>
      </c>
      <c r="AF20" t="s">
        <v>51</v>
      </c>
      <c r="AG20" t="s">
        <v>51</v>
      </c>
      <c r="AH20" t="s">
        <v>198</v>
      </c>
      <c r="AI20" t="s">
        <v>199</v>
      </c>
      <c r="AJ20" t="s">
        <v>42</v>
      </c>
      <c r="AK20" t="s">
        <v>189</v>
      </c>
      <c r="AL20" t="s">
        <v>45</v>
      </c>
      <c r="AM20" t="s">
        <v>188</v>
      </c>
      <c r="AN20" t="s">
        <v>189</v>
      </c>
      <c r="AO20" t="s">
        <v>51</v>
      </c>
      <c r="AP20" t="s">
        <v>42</v>
      </c>
      <c r="AQ20" t="s">
        <v>191</v>
      </c>
      <c r="AR20" t="s">
        <v>43</v>
      </c>
      <c r="AS20" t="s">
        <v>47</v>
      </c>
      <c r="AT20" t="s">
        <v>47</v>
      </c>
      <c r="AU20" t="s">
        <v>191</v>
      </c>
      <c r="AV20" t="s">
        <v>196</v>
      </c>
      <c r="AW20" t="s">
        <v>192</v>
      </c>
    </row>
    <row r="21" spans="1:49" x14ac:dyDescent="0.2">
      <c r="A21" s="69">
        <v>77</v>
      </c>
      <c r="B21" s="50">
        <v>53.910980851839803</v>
      </c>
      <c r="C21" s="50">
        <v>35.863706474347097</v>
      </c>
      <c r="D21" s="50">
        <v>6.5226361171634704</v>
      </c>
      <c r="E21" s="50">
        <v>43.006809709381002</v>
      </c>
      <c r="F21" s="50">
        <v>36.366904560384903</v>
      </c>
      <c r="G21" s="50">
        <v>-17.113182578485901</v>
      </c>
      <c r="H21" s="50">
        <v>21.7345359930748</v>
      </c>
      <c r="I21" s="50">
        <v>53.910980851839803</v>
      </c>
      <c r="J21" s="50" t="s">
        <v>23</v>
      </c>
      <c r="K21" s="50">
        <v>0.60227272727272696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0.13636363636363599</v>
      </c>
      <c r="S21" s="50">
        <v>0</v>
      </c>
      <c r="T21" s="50">
        <v>0</v>
      </c>
      <c r="U21" s="50">
        <v>0</v>
      </c>
      <c r="V21" s="50">
        <v>0</v>
      </c>
      <c r="W21" s="50">
        <v>0.26136363636363602</v>
      </c>
      <c r="X21" s="50">
        <v>0</v>
      </c>
      <c r="Y21" s="50" t="s">
        <v>23</v>
      </c>
      <c r="Z21" s="50" t="s">
        <v>25</v>
      </c>
      <c r="AA21" s="50">
        <f t="shared" si="0"/>
        <v>1</v>
      </c>
      <c r="AB21" s="68">
        <f t="shared" si="1"/>
        <v>0</v>
      </c>
      <c r="AD21" t="s">
        <v>188</v>
      </c>
      <c r="AE21" t="s">
        <v>188</v>
      </c>
      <c r="AF21" t="s">
        <v>47</v>
      </c>
      <c r="AG21" t="s">
        <v>51</v>
      </c>
      <c r="AH21" t="s">
        <v>198</v>
      </c>
      <c r="AI21" t="s">
        <v>199</v>
      </c>
      <c r="AJ21" t="s">
        <v>51</v>
      </c>
      <c r="AK21" t="s">
        <v>43</v>
      </c>
      <c r="AL21" t="s">
        <v>45</v>
      </c>
      <c r="AM21" t="s">
        <v>42</v>
      </c>
      <c r="AN21" t="s">
        <v>194</v>
      </c>
      <c r="AO21" t="s">
        <v>51</v>
      </c>
      <c r="AP21" t="s">
        <v>51</v>
      </c>
      <c r="AQ21" t="s">
        <v>51</v>
      </c>
      <c r="AR21" t="s">
        <v>197</v>
      </c>
      <c r="AS21" t="s">
        <v>43</v>
      </c>
      <c r="AT21" t="s">
        <v>47</v>
      </c>
      <c r="AU21" t="s">
        <v>189</v>
      </c>
      <c r="AV21" t="s">
        <v>190</v>
      </c>
      <c r="AW21" t="s">
        <v>192</v>
      </c>
    </row>
    <row r="22" spans="1:49" x14ac:dyDescent="0.2">
      <c r="A22" s="67">
        <v>78</v>
      </c>
      <c r="B22" s="50">
        <v>-14.089584283437</v>
      </c>
      <c r="C22" s="50">
        <v>-7.8611341511553299</v>
      </c>
      <c r="D22" s="50">
        <v>-8.1797969097839207</v>
      </c>
      <c r="E22" s="50">
        <v>-10.449911552393999</v>
      </c>
      <c r="F22" s="50">
        <v>7.64811213318489</v>
      </c>
      <c r="G22" s="50">
        <v>55.278879767112798</v>
      </c>
      <c r="H22" s="50">
        <v>1.6120708209124901</v>
      </c>
      <c r="I22" s="50">
        <v>55.278879767112798</v>
      </c>
      <c r="J22" s="50" t="s">
        <v>28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0.60227272727272696</v>
      </c>
      <c r="U22" s="50">
        <v>0</v>
      </c>
      <c r="V22" s="50">
        <v>0</v>
      </c>
      <c r="W22" s="50">
        <v>0</v>
      </c>
      <c r="X22" s="50">
        <v>0.39772727272727298</v>
      </c>
      <c r="Y22" s="50" t="s">
        <v>28</v>
      </c>
      <c r="Z22" s="50" t="s">
        <v>187</v>
      </c>
      <c r="AA22" s="50">
        <f t="shared" si="0"/>
        <v>1</v>
      </c>
      <c r="AB22" s="68">
        <f t="shared" si="1"/>
        <v>0</v>
      </c>
      <c r="AD22" t="s">
        <v>43</v>
      </c>
      <c r="AE22" t="s">
        <v>188</v>
      </c>
      <c r="AF22" t="s">
        <v>194</v>
      </c>
      <c r="AG22" t="s">
        <v>51</v>
      </c>
      <c r="AH22" t="s">
        <v>47</v>
      </c>
      <c r="AI22" t="s">
        <v>199</v>
      </c>
      <c r="AJ22" t="s">
        <v>47</v>
      </c>
      <c r="AK22" t="s">
        <v>51</v>
      </c>
      <c r="AL22" t="s">
        <v>199</v>
      </c>
      <c r="AM22" t="s">
        <v>47</v>
      </c>
      <c r="AN22" t="s">
        <v>189</v>
      </c>
      <c r="AO22" t="s">
        <v>47</v>
      </c>
      <c r="AP22" t="s">
        <v>197</v>
      </c>
      <c r="AQ22" t="s">
        <v>51</v>
      </c>
      <c r="AR22" t="s">
        <v>43</v>
      </c>
      <c r="AS22" t="s">
        <v>51</v>
      </c>
      <c r="AT22" t="s">
        <v>191</v>
      </c>
      <c r="AU22" t="s">
        <v>197</v>
      </c>
      <c r="AV22" t="s">
        <v>198</v>
      </c>
      <c r="AW22" t="s">
        <v>192</v>
      </c>
    </row>
    <row r="23" spans="1:49" x14ac:dyDescent="0.2">
      <c r="A23" s="69">
        <v>79</v>
      </c>
      <c r="B23" s="50">
        <v>21.307400207186902</v>
      </c>
      <c r="C23" s="50">
        <v>20.359813071334699</v>
      </c>
      <c r="D23" s="50">
        <v>-13.2677783643878</v>
      </c>
      <c r="E23" s="50">
        <v>27.268608204777799</v>
      </c>
      <c r="F23" s="50">
        <v>14.049624141667</v>
      </c>
      <c r="G23" s="50">
        <v>-9.2466513962243297</v>
      </c>
      <c r="H23" s="50">
        <v>8.5207189901678699</v>
      </c>
      <c r="I23" s="50">
        <v>27.268608204777799</v>
      </c>
      <c r="J23" s="50" t="s">
        <v>26</v>
      </c>
      <c r="K23" s="50">
        <v>0</v>
      </c>
      <c r="L23" s="50">
        <v>0.25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1.13636363636364E-2</v>
      </c>
      <c r="S23" s="50">
        <v>0</v>
      </c>
      <c r="T23" s="50">
        <v>0</v>
      </c>
      <c r="U23" s="50">
        <v>0.25</v>
      </c>
      <c r="V23" s="50">
        <v>0</v>
      </c>
      <c r="W23" s="50">
        <v>9.0909090909090898E-2</v>
      </c>
      <c r="X23" s="50">
        <v>0.39772727272727298</v>
      </c>
      <c r="Y23" s="50" t="s">
        <v>22</v>
      </c>
      <c r="Z23" s="50" t="s">
        <v>186</v>
      </c>
      <c r="AA23" s="50">
        <f t="shared" si="0"/>
        <v>0</v>
      </c>
      <c r="AB23" s="68">
        <f t="shared" si="1"/>
        <v>0</v>
      </c>
      <c r="AD23" t="s">
        <v>196</v>
      </c>
      <c r="AE23" t="s">
        <v>43</v>
      </c>
      <c r="AF23" t="s">
        <v>191</v>
      </c>
      <c r="AG23" t="s">
        <v>51</v>
      </c>
      <c r="AH23" t="s">
        <v>198</v>
      </c>
      <c r="AI23" t="s">
        <v>199</v>
      </c>
      <c r="AJ23" t="s">
        <v>47</v>
      </c>
      <c r="AK23" t="s">
        <v>43</v>
      </c>
      <c r="AL23" t="s">
        <v>45</v>
      </c>
      <c r="AM23" t="s">
        <v>190</v>
      </c>
      <c r="AN23" t="s">
        <v>189</v>
      </c>
      <c r="AO23" t="s">
        <v>47</v>
      </c>
      <c r="AP23" t="s">
        <v>42</v>
      </c>
      <c r="AQ23" t="s">
        <v>51</v>
      </c>
      <c r="AR23" t="s">
        <v>198</v>
      </c>
      <c r="AS23" t="s">
        <v>188</v>
      </c>
      <c r="AT23" t="s">
        <v>47</v>
      </c>
      <c r="AU23" t="s">
        <v>191</v>
      </c>
      <c r="AV23" t="s">
        <v>190</v>
      </c>
      <c r="AW23" t="s">
        <v>192</v>
      </c>
    </row>
    <row r="24" spans="1:49" x14ac:dyDescent="0.2">
      <c r="A24" s="67">
        <v>80</v>
      </c>
      <c r="B24" s="50">
        <v>12.0176271537954</v>
      </c>
      <c r="C24" s="50">
        <v>23.778509801927701</v>
      </c>
      <c r="D24" s="50">
        <v>6.01346575638253</v>
      </c>
      <c r="E24" s="50">
        <v>0.34047443537876199</v>
      </c>
      <c r="F24" s="50">
        <v>27.182231840722299</v>
      </c>
      <c r="G24" s="50">
        <v>-6.09584870777406</v>
      </c>
      <c r="H24" s="50">
        <v>31.4586612424267</v>
      </c>
      <c r="I24" s="50">
        <v>31.4586612424267</v>
      </c>
      <c r="J24" s="50" t="s">
        <v>25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0.19318181818181801</v>
      </c>
      <c r="S24" s="50">
        <v>0</v>
      </c>
      <c r="T24" s="50">
        <v>0</v>
      </c>
      <c r="U24" s="50">
        <v>0</v>
      </c>
      <c r="V24" s="50">
        <v>0</v>
      </c>
      <c r="W24" s="50">
        <v>0.40909090909090901</v>
      </c>
      <c r="X24" s="50">
        <v>0.39772727272727298</v>
      </c>
      <c r="Y24" s="50" t="s">
        <v>25</v>
      </c>
      <c r="Z24" s="50" t="s">
        <v>30</v>
      </c>
      <c r="AA24" s="50">
        <f t="shared" si="0"/>
        <v>1</v>
      </c>
      <c r="AB24" s="68">
        <f t="shared" si="1"/>
        <v>0</v>
      </c>
      <c r="AD24" t="s">
        <v>188</v>
      </c>
      <c r="AE24" t="s">
        <v>188</v>
      </c>
      <c r="AF24" t="s">
        <v>51</v>
      </c>
      <c r="AG24" t="s">
        <v>47</v>
      </c>
      <c r="AH24" t="s">
        <v>47</v>
      </c>
      <c r="AI24" t="s">
        <v>199</v>
      </c>
      <c r="AJ24" t="s">
        <v>42</v>
      </c>
      <c r="AK24" t="s">
        <v>189</v>
      </c>
      <c r="AL24" t="s">
        <v>45</v>
      </c>
      <c r="AM24" t="s">
        <v>42</v>
      </c>
      <c r="AN24" t="s">
        <v>189</v>
      </c>
      <c r="AO24" t="s">
        <v>191</v>
      </c>
      <c r="AP24" t="s">
        <v>191</v>
      </c>
      <c r="AQ24" t="s">
        <v>47</v>
      </c>
      <c r="AR24" t="s">
        <v>43</v>
      </c>
      <c r="AS24" t="s">
        <v>43</v>
      </c>
      <c r="AT24" t="s">
        <v>47</v>
      </c>
      <c r="AU24" t="s">
        <v>191</v>
      </c>
      <c r="AV24" t="s">
        <v>190</v>
      </c>
      <c r="AW24" t="s">
        <v>192</v>
      </c>
    </row>
    <row r="25" spans="1:49" x14ac:dyDescent="0.2">
      <c r="A25" s="67">
        <v>83</v>
      </c>
      <c r="B25" s="50">
        <v>25.349456611047099</v>
      </c>
      <c r="C25" s="50">
        <v>21.950889297179099</v>
      </c>
      <c r="D25" s="50">
        <v>3.9753560451682799</v>
      </c>
      <c r="E25" s="50">
        <v>18.196725383411898</v>
      </c>
      <c r="F25" s="50">
        <v>33.852503508371598</v>
      </c>
      <c r="G25" s="50">
        <v>-8.5151617296424007</v>
      </c>
      <c r="H25" s="50">
        <v>12.5631072138875</v>
      </c>
      <c r="I25" s="50">
        <v>33.852503508371598</v>
      </c>
      <c r="J25" s="50" t="s">
        <v>30</v>
      </c>
      <c r="K25" s="50">
        <v>0.102272727272727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0.55681818181818199</v>
      </c>
      <c r="S25" s="50">
        <v>0</v>
      </c>
      <c r="T25" s="50">
        <v>0</v>
      </c>
      <c r="U25" s="50">
        <v>0</v>
      </c>
      <c r="V25" s="50">
        <v>0</v>
      </c>
      <c r="W25" s="50">
        <v>0.34090909090909099</v>
      </c>
      <c r="X25" s="50">
        <v>0</v>
      </c>
      <c r="Y25" s="50" t="s">
        <v>30</v>
      </c>
      <c r="Z25" s="50" t="s">
        <v>25</v>
      </c>
      <c r="AA25" s="50">
        <f t="shared" si="0"/>
        <v>1</v>
      </c>
      <c r="AB25" s="68">
        <f t="shared" si="1"/>
        <v>0</v>
      </c>
      <c r="AD25" t="s">
        <v>47</v>
      </c>
      <c r="AE25" t="s">
        <v>188</v>
      </c>
      <c r="AF25" t="s">
        <v>51</v>
      </c>
      <c r="AG25" t="s">
        <v>51</v>
      </c>
      <c r="AH25" t="s">
        <v>191</v>
      </c>
      <c r="AI25" t="s">
        <v>199</v>
      </c>
      <c r="AJ25" t="s">
        <v>198</v>
      </c>
      <c r="AK25" t="s">
        <v>43</v>
      </c>
      <c r="AL25" t="s">
        <v>45</v>
      </c>
      <c r="AM25" t="s">
        <v>42</v>
      </c>
      <c r="AN25" t="s">
        <v>189</v>
      </c>
      <c r="AO25" t="s">
        <v>51</v>
      </c>
      <c r="AP25" t="s">
        <v>51</v>
      </c>
      <c r="AQ25" t="s">
        <v>47</v>
      </c>
      <c r="AR25" t="s">
        <v>43</v>
      </c>
      <c r="AS25" t="s">
        <v>42</v>
      </c>
      <c r="AT25" t="s">
        <v>47</v>
      </c>
      <c r="AU25" t="s">
        <v>191</v>
      </c>
      <c r="AV25" t="s">
        <v>190</v>
      </c>
      <c r="AW25" t="s">
        <v>192</v>
      </c>
    </row>
    <row r="26" spans="1:49" x14ac:dyDescent="0.2">
      <c r="A26" s="67">
        <v>84</v>
      </c>
      <c r="B26" s="50">
        <v>11.7566436208986</v>
      </c>
      <c r="C26" s="50">
        <v>7.9722130913945</v>
      </c>
      <c r="D26" s="50">
        <v>1.5420777353041399</v>
      </c>
      <c r="E26" s="50">
        <v>10.409750046312899</v>
      </c>
      <c r="F26" s="50">
        <v>26.2273841279099</v>
      </c>
      <c r="G26" s="50">
        <v>-11.451089418702701</v>
      </c>
      <c r="H26" s="50">
        <v>5.8263128779028301</v>
      </c>
      <c r="I26" s="50">
        <v>26.2273841279099</v>
      </c>
      <c r="J26" s="50" t="s">
        <v>30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0.90909090909090895</v>
      </c>
      <c r="S26" s="50">
        <v>0</v>
      </c>
      <c r="T26" s="50">
        <v>0</v>
      </c>
      <c r="U26" s="50">
        <v>0</v>
      </c>
      <c r="V26" s="50">
        <v>0</v>
      </c>
      <c r="W26" s="50">
        <v>9.0909090909090898E-2</v>
      </c>
      <c r="X26" s="50">
        <v>0</v>
      </c>
      <c r="Y26" s="50" t="s">
        <v>30</v>
      </c>
      <c r="Z26" s="50" t="s">
        <v>25</v>
      </c>
      <c r="AA26" s="50">
        <f t="shared" si="0"/>
        <v>1</v>
      </c>
      <c r="AB26" s="68">
        <f t="shared" si="1"/>
        <v>0</v>
      </c>
      <c r="AD26" t="s">
        <v>43</v>
      </c>
      <c r="AE26" t="s">
        <v>188</v>
      </c>
      <c r="AF26" t="s">
        <v>47</v>
      </c>
      <c r="AG26" t="s">
        <v>189</v>
      </c>
      <c r="AH26" t="s">
        <v>191</v>
      </c>
      <c r="AI26" t="s">
        <v>199</v>
      </c>
      <c r="AJ26" t="s">
        <v>189</v>
      </c>
      <c r="AK26" t="s">
        <v>188</v>
      </c>
      <c r="AL26" t="s">
        <v>45</v>
      </c>
      <c r="AM26" t="s">
        <v>42</v>
      </c>
      <c r="AN26" t="s">
        <v>189</v>
      </c>
      <c r="AO26" t="s">
        <v>51</v>
      </c>
      <c r="AP26" t="s">
        <v>42</v>
      </c>
      <c r="AQ26" t="s">
        <v>47</v>
      </c>
      <c r="AR26" t="s">
        <v>43</v>
      </c>
      <c r="AS26" t="s">
        <v>197</v>
      </c>
      <c r="AT26" t="s">
        <v>47</v>
      </c>
      <c r="AU26" t="s">
        <v>198</v>
      </c>
      <c r="AV26" t="s">
        <v>190</v>
      </c>
      <c r="AW26" t="s">
        <v>192</v>
      </c>
    </row>
    <row r="27" spans="1:49" x14ac:dyDescent="0.2">
      <c r="A27" s="73">
        <v>87</v>
      </c>
      <c r="B27" s="71">
        <v>-4.9478654245655003</v>
      </c>
      <c r="C27" s="71">
        <v>8.5279536480953304</v>
      </c>
      <c r="D27" s="71">
        <v>-9.1058685790009903</v>
      </c>
      <c r="E27" s="71">
        <v>11.296329429790401</v>
      </c>
      <c r="F27" s="71">
        <v>19.160328043164899</v>
      </c>
      <c r="G27" s="71">
        <v>-17.811497143892201</v>
      </c>
      <c r="H27" s="71">
        <v>26.6687838641216</v>
      </c>
      <c r="I27" s="71">
        <v>26.6687838641216</v>
      </c>
      <c r="J27" s="71" t="s">
        <v>25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0.48863636363636398</v>
      </c>
      <c r="S27" s="71">
        <v>0</v>
      </c>
      <c r="T27" s="71">
        <v>0</v>
      </c>
      <c r="U27" s="71">
        <v>0</v>
      </c>
      <c r="V27" s="71">
        <v>0</v>
      </c>
      <c r="W27" s="71">
        <v>0.51136363636363602</v>
      </c>
      <c r="X27" s="71">
        <v>0</v>
      </c>
      <c r="Y27" s="71" t="s">
        <v>25</v>
      </c>
      <c r="Z27" s="71" t="s">
        <v>30</v>
      </c>
      <c r="AA27" s="71">
        <f t="shared" si="0"/>
        <v>1</v>
      </c>
      <c r="AB27" s="72">
        <f t="shared" si="1"/>
        <v>0</v>
      </c>
      <c r="AD27" t="s">
        <v>192</v>
      </c>
      <c r="AE27" t="s">
        <v>189</v>
      </c>
      <c r="AF27" t="s">
        <v>188</v>
      </c>
      <c r="AG27" t="s">
        <v>51</v>
      </c>
      <c r="AH27" t="s">
        <v>198</v>
      </c>
      <c r="AI27" t="s">
        <v>199</v>
      </c>
      <c r="AJ27" t="s">
        <v>42</v>
      </c>
      <c r="AK27" t="s">
        <v>189</v>
      </c>
      <c r="AL27" t="s">
        <v>45</v>
      </c>
      <c r="AM27" t="s">
        <v>42</v>
      </c>
      <c r="AN27" t="s">
        <v>191</v>
      </c>
      <c r="AO27" t="s">
        <v>191</v>
      </c>
      <c r="AP27" t="s">
        <v>51</v>
      </c>
      <c r="AQ27" t="s">
        <v>51</v>
      </c>
      <c r="AR27" t="s">
        <v>197</v>
      </c>
      <c r="AS27" t="s">
        <v>42</v>
      </c>
      <c r="AT27" t="s">
        <v>47</v>
      </c>
      <c r="AU27" t="s">
        <v>198</v>
      </c>
      <c r="AV27" t="s">
        <v>188</v>
      </c>
      <c r="AW27" t="s">
        <v>192</v>
      </c>
    </row>
    <row r="28" spans="1:49" x14ac:dyDescent="0.2">
      <c r="A28" s="64">
        <v>89</v>
      </c>
      <c r="B28" s="65">
        <v>-21.465783346548701</v>
      </c>
      <c r="C28" s="65">
        <v>-19.924521888380099</v>
      </c>
      <c r="D28" s="65">
        <v>-12.448160710831599</v>
      </c>
      <c r="E28" s="65">
        <v>-19.224168778088298</v>
      </c>
      <c r="F28" s="65">
        <v>-4.38811381940471</v>
      </c>
      <c r="G28" s="65">
        <v>52.891724417705902</v>
      </c>
      <c r="H28" s="65">
        <v>-6.4491638575889096</v>
      </c>
      <c r="I28" s="65">
        <v>52.891724417705902</v>
      </c>
      <c r="J28" s="65" t="s">
        <v>28</v>
      </c>
      <c r="K28" s="65">
        <v>0</v>
      </c>
      <c r="L28" s="65">
        <v>0.95454545454545503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4.5454545454545497E-2</v>
      </c>
      <c r="X28" s="65">
        <v>0</v>
      </c>
      <c r="Y28" s="65" t="s">
        <v>22</v>
      </c>
      <c r="Z28" s="65" t="s">
        <v>25</v>
      </c>
      <c r="AA28" s="65">
        <f t="shared" si="0"/>
        <v>0</v>
      </c>
      <c r="AB28" s="66">
        <f t="shared" si="1"/>
        <v>0</v>
      </c>
      <c r="AD28" t="s">
        <v>193</v>
      </c>
      <c r="AE28" t="s">
        <v>42</v>
      </c>
      <c r="AF28" t="s">
        <v>210</v>
      </c>
      <c r="AG28" t="s">
        <v>190</v>
      </c>
      <c r="AH28" t="s">
        <v>47</v>
      </c>
      <c r="AI28" t="s">
        <v>199</v>
      </c>
      <c r="AJ28" t="s">
        <v>191</v>
      </c>
      <c r="AK28" t="s">
        <v>51</v>
      </c>
      <c r="AL28" t="s">
        <v>199</v>
      </c>
      <c r="AM28" t="s">
        <v>47</v>
      </c>
      <c r="AN28" t="s">
        <v>189</v>
      </c>
      <c r="AO28" t="s">
        <v>190</v>
      </c>
      <c r="AP28" t="s">
        <v>197</v>
      </c>
      <c r="AQ28" t="s">
        <v>51</v>
      </c>
      <c r="AR28" t="s">
        <v>43</v>
      </c>
      <c r="AS28" t="s">
        <v>51</v>
      </c>
      <c r="AT28" t="s">
        <v>191</v>
      </c>
      <c r="AU28" t="s">
        <v>197</v>
      </c>
      <c r="AV28" t="s">
        <v>191</v>
      </c>
      <c r="AW28" t="s">
        <v>192</v>
      </c>
    </row>
    <row r="29" spans="1:49" x14ac:dyDescent="0.2">
      <c r="A29" s="67">
        <v>91</v>
      </c>
      <c r="B29" s="50">
        <v>43.439727121662798</v>
      </c>
      <c r="C29" s="50">
        <v>55.810696648686204</v>
      </c>
      <c r="D29" s="50">
        <v>3.5805625472290199</v>
      </c>
      <c r="E29" s="50">
        <v>38.922900722384597</v>
      </c>
      <c r="F29" s="50">
        <v>26.488093548748999</v>
      </c>
      <c r="G29" s="50">
        <v>-5.1402507935404298</v>
      </c>
      <c r="H29" s="50">
        <v>14.9946542897026</v>
      </c>
      <c r="I29" s="50">
        <v>55.810696648686204</v>
      </c>
      <c r="J29" s="50" t="s">
        <v>22</v>
      </c>
      <c r="K29" s="50">
        <v>0</v>
      </c>
      <c r="L29" s="50">
        <v>0.88636363636363602</v>
      </c>
      <c r="M29" s="50">
        <v>0</v>
      </c>
      <c r="N29" s="50">
        <v>0</v>
      </c>
      <c r="O29" s="50">
        <v>0</v>
      </c>
      <c r="P29" s="50">
        <v>0.11363636363636399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 t="s">
        <v>22</v>
      </c>
      <c r="Z29" s="50" t="s">
        <v>26</v>
      </c>
      <c r="AA29" s="50">
        <f t="shared" si="0"/>
        <v>1</v>
      </c>
      <c r="AB29" s="68">
        <f t="shared" si="1"/>
        <v>0</v>
      </c>
      <c r="AD29" t="s">
        <v>192</v>
      </c>
      <c r="AE29" t="s">
        <v>188</v>
      </c>
      <c r="AF29" t="s">
        <v>191</v>
      </c>
      <c r="AG29" t="s">
        <v>51</v>
      </c>
      <c r="AH29" t="s">
        <v>198</v>
      </c>
      <c r="AI29" t="s">
        <v>199</v>
      </c>
      <c r="AJ29" t="s">
        <v>47</v>
      </c>
      <c r="AK29" t="s">
        <v>43</v>
      </c>
      <c r="AL29" t="s">
        <v>45</v>
      </c>
      <c r="AM29" t="s">
        <v>51</v>
      </c>
      <c r="AN29" t="s">
        <v>189</v>
      </c>
      <c r="AO29" t="s">
        <v>51</v>
      </c>
      <c r="AP29" t="s">
        <v>47</v>
      </c>
      <c r="AQ29" t="s">
        <v>51</v>
      </c>
      <c r="AR29" t="s">
        <v>42</v>
      </c>
      <c r="AS29" t="s">
        <v>43</v>
      </c>
      <c r="AT29" t="s">
        <v>47</v>
      </c>
      <c r="AU29" t="s">
        <v>51</v>
      </c>
      <c r="AV29" t="s">
        <v>190</v>
      </c>
      <c r="AW29" t="s">
        <v>192</v>
      </c>
    </row>
    <row r="30" spans="1:49" x14ac:dyDescent="0.2">
      <c r="A30" s="67">
        <v>92</v>
      </c>
      <c r="B30" s="50">
        <v>51.857362168936</v>
      </c>
      <c r="C30" s="50">
        <v>38.195188222126198</v>
      </c>
      <c r="D30" s="50">
        <v>10.853116113598199</v>
      </c>
      <c r="E30" s="50">
        <v>32.861287665535897</v>
      </c>
      <c r="F30" s="50">
        <v>31.9917587254842</v>
      </c>
      <c r="G30" s="50">
        <v>-15.096116147310299</v>
      </c>
      <c r="H30" s="50">
        <v>22.1621219492935</v>
      </c>
      <c r="I30" s="50">
        <v>51.857362168936</v>
      </c>
      <c r="J30" s="50" t="s">
        <v>23</v>
      </c>
      <c r="K30" s="50">
        <v>6.8181818181818205E-2</v>
      </c>
      <c r="L30" s="50">
        <v>0.93181818181818199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 t="s">
        <v>22</v>
      </c>
      <c r="Z30" s="50" t="s">
        <v>23</v>
      </c>
      <c r="AA30" s="50">
        <f t="shared" si="0"/>
        <v>0</v>
      </c>
      <c r="AB30" s="68">
        <f t="shared" si="1"/>
        <v>1</v>
      </c>
      <c r="AD30" t="s">
        <v>42</v>
      </c>
      <c r="AE30" t="s">
        <v>188</v>
      </c>
      <c r="AF30" t="s">
        <v>191</v>
      </c>
      <c r="AG30" t="s">
        <v>51</v>
      </c>
      <c r="AH30" t="s">
        <v>198</v>
      </c>
      <c r="AI30" t="s">
        <v>199</v>
      </c>
      <c r="AJ30" t="s">
        <v>51</v>
      </c>
      <c r="AK30" t="s">
        <v>43</v>
      </c>
      <c r="AL30" t="s">
        <v>45</v>
      </c>
      <c r="AM30" t="s">
        <v>43</v>
      </c>
      <c r="AN30" t="s">
        <v>51</v>
      </c>
      <c r="AO30" t="s">
        <v>51</v>
      </c>
      <c r="AP30" t="s">
        <v>191</v>
      </c>
      <c r="AQ30" t="s">
        <v>51</v>
      </c>
      <c r="AR30" t="s">
        <v>42</v>
      </c>
      <c r="AS30" t="s">
        <v>43</v>
      </c>
      <c r="AT30" t="s">
        <v>47</v>
      </c>
      <c r="AU30" t="s">
        <v>189</v>
      </c>
      <c r="AV30" t="s">
        <v>190</v>
      </c>
      <c r="AW30" t="s">
        <v>192</v>
      </c>
    </row>
    <row r="31" spans="1:49" x14ac:dyDescent="0.2">
      <c r="A31" s="67">
        <v>93</v>
      </c>
      <c r="B31" s="50">
        <v>-0.35280475515819898</v>
      </c>
      <c r="C31" s="50">
        <v>8.4051658731652701</v>
      </c>
      <c r="D31" s="50">
        <v>58.379414890991903</v>
      </c>
      <c r="E31" s="50">
        <v>5.71289764424436</v>
      </c>
      <c r="F31" s="50">
        <v>2.8317613008795401</v>
      </c>
      <c r="G31" s="50">
        <v>-5.5530779794908103</v>
      </c>
      <c r="H31" s="50">
        <v>21.962279832229498</v>
      </c>
      <c r="I31" s="50">
        <v>58.379414890991903</v>
      </c>
      <c r="J31" s="50" t="s">
        <v>24</v>
      </c>
      <c r="K31" s="50">
        <v>2.27272727272727E-2</v>
      </c>
      <c r="L31" s="50">
        <v>0</v>
      </c>
      <c r="M31" s="50">
        <v>0</v>
      </c>
      <c r="N31" s="50">
        <v>0.72727272727272696</v>
      </c>
      <c r="O31" s="50">
        <v>0.25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 t="s">
        <v>24</v>
      </c>
      <c r="Z31" s="50" t="s">
        <v>31</v>
      </c>
      <c r="AA31" s="50">
        <f t="shared" si="0"/>
        <v>1</v>
      </c>
      <c r="AB31" s="68">
        <f t="shared" si="1"/>
        <v>0</v>
      </c>
      <c r="AD31" t="s">
        <v>191</v>
      </c>
      <c r="AE31" t="s">
        <v>188</v>
      </c>
      <c r="AF31" t="s">
        <v>210</v>
      </c>
      <c r="AG31" t="s">
        <v>194</v>
      </c>
      <c r="AH31" t="s">
        <v>47</v>
      </c>
      <c r="AI31" t="s">
        <v>199</v>
      </c>
      <c r="AJ31" t="s">
        <v>43</v>
      </c>
      <c r="AK31" t="s">
        <v>43</v>
      </c>
      <c r="AL31" t="s">
        <v>45</v>
      </c>
      <c r="AM31" t="s">
        <v>190</v>
      </c>
      <c r="AN31" t="s">
        <v>198</v>
      </c>
      <c r="AO31" t="s">
        <v>51</v>
      </c>
      <c r="AP31" t="s">
        <v>47</v>
      </c>
      <c r="AQ31" t="s">
        <v>51</v>
      </c>
      <c r="AR31" t="s">
        <v>43</v>
      </c>
      <c r="AS31" t="s">
        <v>43</v>
      </c>
      <c r="AT31" t="s">
        <v>196</v>
      </c>
      <c r="AU31" t="s">
        <v>194</v>
      </c>
      <c r="AV31" t="s">
        <v>188</v>
      </c>
      <c r="AW31" t="s">
        <v>192</v>
      </c>
    </row>
    <row r="32" spans="1:49" x14ac:dyDescent="0.2">
      <c r="A32" s="67">
        <v>94</v>
      </c>
      <c r="B32" s="50">
        <v>58.058483836238601</v>
      </c>
      <c r="C32" s="50">
        <v>39.151002540615899</v>
      </c>
      <c r="D32" s="50">
        <v>6.6291791459331204</v>
      </c>
      <c r="E32" s="50">
        <v>43.1437503226622</v>
      </c>
      <c r="F32" s="50">
        <v>34.3509113641475</v>
      </c>
      <c r="G32" s="50">
        <v>-9.9855420883660209</v>
      </c>
      <c r="H32" s="50">
        <v>16.3265647784017</v>
      </c>
      <c r="I32" s="50">
        <v>58.058483836238601</v>
      </c>
      <c r="J32" s="50" t="s">
        <v>23</v>
      </c>
      <c r="K32" s="50">
        <v>0.97727272727272696</v>
      </c>
      <c r="L32" s="50">
        <v>0</v>
      </c>
      <c r="M32" s="50">
        <v>0</v>
      </c>
      <c r="N32" s="50">
        <v>2.27272727272727E-2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 t="s">
        <v>23</v>
      </c>
      <c r="Z32" s="50" t="s">
        <v>24</v>
      </c>
      <c r="AA32" s="50">
        <f t="shared" si="0"/>
        <v>1</v>
      </c>
      <c r="AB32" s="68">
        <f t="shared" si="1"/>
        <v>0</v>
      </c>
      <c r="AD32" t="s">
        <v>43</v>
      </c>
      <c r="AE32" t="s">
        <v>188</v>
      </c>
      <c r="AF32" t="s">
        <v>191</v>
      </c>
      <c r="AG32" t="s">
        <v>51</v>
      </c>
      <c r="AH32" t="s">
        <v>191</v>
      </c>
      <c r="AI32" t="s">
        <v>199</v>
      </c>
      <c r="AJ32" t="s">
        <v>51</v>
      </c>
      <c r="AK32" t="s">
        <v>43</v>
      </c>
      <c r="AL32" t="s">
        <v>45</v>
      </c>
      <c r="AM32" t="s">
        <v>42</v>
      </c>
      <c r="AN32" t="s">
        <v>194</v>
      </c>
      <c r="AO32" t="s">
        <v>51</v>
      </c>
      <c r="AP32" t="s">
        <v>51</v>
      </c>
      <c r="AQ32" t="s">
        <v>51</v>
      </c>
      <c r="AR32" t="s">
        <v>42</v>
      </c>
      <c r="AS32" t="s">
        <v>43</v>
      </c>
      <c r="AT32" t="s">
        <v>47</v>
      </c>
      <c r="AU32" t="s">
        <v>189</v>
      </c>
      <c r="AV32" t="s">
        <v>190</v>
      </c>
      <c r="AW32" t="s">
        <v>192</v>
      </c>
    </row>
    <row r="33" spans="1:49" x14ac:dyDescent="0.2">
      <c r="A33" s="67">
        <v>95</v>
      </c>
      <c r="B33" s="50">
        <v>-2.4988713362821602</v>
      </c>
      <c r="C33" s="50">
        <v>30.5279277195201</v>
      </c>
      <c r="D33" s="50">
        <v>-12.9290098522604</v>
      </c>
      <c r="E33" s="50">
        <v>2.59845087082449</v>
      </c>
      <c r="F33" s="50">
        <v>10.8426429083245</v>
      </c>
      <c r="G33" s="50">
        <v>-15.491097195604899</v>
      </c>
      <c r="H33" s="50">
        <v>40.435903269110298</v>
      </c>
      <c r="I33" s="50">
        <v>40.435903269110298</v>
      </c>
      <c r="J33" s="50" t="s">
        <v>25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9.0909090909090898E-2</v>
      </c>
      <c r="S33" s="50">
        <v>0</v>
      </c>
      <c r="T33" s="50">
        <v>0</v>
      </c>
      <c r="U33" s="50">
        <v>0</v>
      </c>
      <c r="V33" s="50">
        <v>0</v>
      </c>
      <c r="W33" s="50">
        <v>0.90909090909090895</v>
      </c>
      <c r="X33" s="50">
        <v>0</v>
      </c>
      <c r="Y33" s="50" t="s">
        <v>25</v>
      </c>
      <c r="Z33" s="50" t="s">
        <v>30</v>
      </c>
      <c r="AA33" s="50">
        <f t="shared" si="0"/>
        <v>1</v>
      </c>
      <c r="AB33" s="68">
        <f t="shared" si="1"/>
        <v>0</v>
      </c>
      <c r="AD33" t="s">
        <v>195</v>
      </c>
      <c r="AE33" t="s">
        <v>43</v>
      </c>
      <c r="AF33" t="s">
        <v>51</v>
      </c>
      <c r="AG33" t="s">
        <v>51</v>
      </c>
      <c r="AH33" t="s">
        <v>47</v>
      </c>
      <c r="AI33" t="s">
        <v>199</v>
      </c>
      <c r="AJ33" t="s">
        <v>42</v>
      </c>
      <c r="AK33" t="s">
        <v>189</v>
      </c>
      <c r="AL33" t="s">
        <v>45</v>
      </c>
      <c r="AM33" t="s">
        <v>188</v>
      </c>
      <c r="AN33" t="s">
        <v>51</v>
      </c>
      <c r="AO33" t="s">
        <v>198</v>
      </c>
      <c r="AP33" t="s">
        <v>51</v>
      </c>
      <c r="AQ33" t="s">
        <v>47</v>
      </c>
      <c r="AR33" t="s">
        <v>42</v>
      </c>
      <c r="AS33" t="s">
        <v>42</v>
      </c>
      <c r="AT33" t="s">
        <v>47</v>
      </c>
      <c r="AU33" t="s">
        <v>191</v>
      </c>
      <c r="AV33" t="s">
        <v>196</v>
      </c>
      <c r="AW33" t="s">
        <v>192</v>
      </c>
    </row>
    <row r="34" spans="1:49" x14ac:dyDescent="0.2">
      <c r="A34" s="67">
        <v>96</v>
      </c>
      <c r="B34" s="50">
        <v>57.563408606007201</v>
      </c>
      <c r="C34" s="50">
        <v>38.625558579773703</v>
      </c>
      <c r="D34" s="50">
        <v>4.3357268394319304</v>
      </c>
      <c r="E34" s="50">
        <v>42.636570881037699</v>
      </c>
      <c r="F34" s="50">
        <v>27.592447748648599</v>
      </c>
      <c r="G34" s="50">
        <v>-18.278874530916202</v>
      </c>
      <c r="H34" s="50">
        <v>17.2551698684203</v>
      </c>
      <c r="I34" s="50">
        <v>57.563408606007201</v>
      </c>
      <c r="J34" s="50" t="s">
        <v>23</v>
      </c>
      <c r="K34" s="50">
        <v>0.97727272727272696</v>
      </c>
      <c r="L34" s="50">
        <v>2.27272727272727E-2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 t="s">
        <v>23</v>
      </c>
      <c r="Z34" s="50" t="s">
        <v>22</v>
      </c>
      <c r="AA34" s="50">
        <f t="shared" si="0"/>
        <v>1</v>
      </c>
      <c r="AB34" s="68">
        <f t="shared" si="1"/>
        <v>0</v>
      </c>
      <c r="AD34" t="s">
        <v>43</v>
      </c>
      <c r="AE34" t="s">
        <v>188</v>
      </c>
      <c r="AF34" t="s">
        <v>191</v>
      </c>
      <c r="AG34" t="s">
        <v>51</v>
      </c>
      <c r="AH34" t="s">
        <v>198</v>
      </c>
      <c r="AI34" t="s">
        <v>199</v>
      </c>
      <c r="AJ34" t="s">
        <v>51</v>
      </c>
      <c r="AK34" t="s">
        <v>43</v>
      </c>
      <c r="AL34" t="s">
        <v>45</v>
      </c>
      <c r="AM34" t="s">
        <v>43</v>
      </c>
      <c r="AN34" t="s">
        <v>194</v>
      </c>
      <c r="AO34" t="s">
        <v>51</v>
      </c>
      <c r="AP34" t="s">
        <v>51</v>
      </c>
      <c r="AQ34" t="s">
        <v>51</v>
      </c>
      <c r="AR34" t="s">
        <v>42</v>
      </c>
      <c r="AS34" t="s">
        <v>43</v>
      </c>
      <c r="AT34" t="s">
        <v>197</v>
      </c>
      <c r="AU34" t="s">
        <v>189</v>
      </c>
      <c r="AV34" t="s">
        <v>190</v>
      </c>
      <c r="AW34" t="s">
        <v>192</v>
      </c>
    </row>
    <row r="35" spans="1:49" x14ac:dyDescent="0.2">
      <c r="A35" s="67">
        <v>98</v>
      </c>
      <c r="B35" s="50">
        <v>8.73541863669778</v>
      </c>
      <c r="C35" s="50">
        <v>5.7124618232514797</v>
      </c>
      <c r="D35" s="50">
        <v>-16.4857989731047</v>
      </c>
      <c r="E35" s="50">
        <v>10.677440036547599</v>
      </c>
      <c r="F35" s="50">
        <v>42.825899189438097</v>
      </c>
      <c r="G35" s="50">
        <v>-12.2110146045405</v>
      </c>
      <c r="H35" s="50">
        <v>0.77279368951942995</v>
      </c>
      <c r="I35" s="50">
        <v>42.825899189438097</v>
      </c>
      <c r="J35" s="50" t="s">
        <v>30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0.97727272727272696</v>
      </c>
      <c r="S35" s="50">
        <v>0</v>
      </c>
      <c r="T35" s="50">
        <v>0</v>
      </c>
      <c r="U35" s="50">
        <v>0</v>
      </c>
      <c r="V35" s="50">
        <v>0</v>
      </c>
      <c r="W35" s="50">
        <v>2.27272727272727E-2</v>
      </c>
      <c r="X35" s="50">
        <v>0</v>
      </c>
      <c r="Y35" s="50" t="s">
        <v>30</v>
      </c>
      <c r="Z35" s="50" t="s">
        <v>25</v>
      </c>
      <c r="AA35" s="50">
        <f t="shared" si="0"/>
        <v>1</v>
      </c>
      <c r="AB35" s="68">
        <f t="shared" si="1"/>
        <v>0</v>
      </c>
      <c r="AD35" t="s">
        <v>193</v>
      </c>
      <c r="AE35" t="s">
        <v>188</v>
      </c>
      <c r="AF35" t="s">
        <v>191</v>
      </c>
      <c r="AG35" t="s">
        <v>51</v>
      </c>
      <c r="AH35" t="s">
        <v>191</v>
      </c>
      <c r="AI35" t="s">
        <v>199</v>
      </c>
      <c r="AJ35" t="s">
        <v>189</v>
      </c>
      <c r="AK35" t="s">
        <v>188</v>
      </c>
      <c r="AL35" t="s">
        <v>45</v>
      </c>
      <c r="AM35" t="s">
        <v>198</v>
      </c>
      <c r="AN35" t="s">
        <v>194</v>
      </c>
      <c r="AO35" t="s">
        <v>51</v>
      </c>
      <c r="AP35" t="s">
        <v>51</v>
      </c>
      <c r="AQ35" t="s">
        <v>198</v>
      </c>
      <c r="AR35" t="s">
        <v>43</v>
      </c>
      <c r="AS35" t="s">
        <v>42</v>
      </c>
      <c r="AT35" t="s">
        <v>47</v>
      </c>
      <c r="AU35" t="s">
        <v>198</v>
      </c>
      <c r="AV35" t="s">
        <v>190</v>
      </c>
      <c r="AW35" t="s">
        <v>192</v>
      </c>
    </row>
    <row r="36" spans="1:49" x14ac:dyDescent="0.2">
      <c r="A36" s="69">
        <v>101</v>
      </c>
      <c r="B36" s="50">
        <v>30.268209937354701</v>
      </c>
      <c r="C36" s="50">
        <v>35.0343732300921</v>
      </c>
      <c r="D36" s="50">
        <v>14.1186274847496</v>
      </c>
      <c r="E36" s="50">
        <v>41.583807455800198</v>
      </c>
      <c r="F36" s="50">
        <v>32.056319328564001</v>
      </c>
      <c r="G36" s="50">
        <v>-16.322330721139998</v>
      </c>
      <c r="H36" s="50">
        <v>30.485924111107298</v>
      </c>
      <c r="I36" s="50">
        <v>41.583807455800198</v>
      </c>
      <c r="J36" s="50" t="s">
        <v>26</v>
      </c>
      <c r="K36" s="50">
        <v>0</v>
      </c>
      <c r="L36" s="50">
        <v>2.27272727272727E-2</v>
      </c>
      <c r="M36" s="50">
        <v>0</v>
      </c>
      <c r="N36" s="50">
        <v>0</v>
      </c>
      <c r="O36" s="50">
        <v>0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0.97727272727272696</v>
      </c>
      <c r="X36" s="50">
        <v>0</v>
      </c>
      <c r="Y36" s="50" t="s">
        <v>25</v>
      </c>
      <c r="Z36" s="50" t="s">
        <v>22</v>
      </c>
      <c r="AA36" s="50">
        <f t="shared" si="0"/>
        <v>0</v>
      </c>
      <c r="AB36" s="68">
        <f t="shared" si="1"/>
        <v>0</v>
      </c>
      <c r="AD36" t="s">
        <v>192</v>
      </c>
      <c r="AE36" t="s">
        <v>188</v>
      </c>
      <c r="AF36" t="s">
        <v>191</v>
      </c>
      <c r="AG36" t="s">
        <v>51</v>
      </c>
      <c r="AH36" t="s">
        <v>198</v>
      </c>
      <c r="AI36" t="s">
        <v>199</v>
      </c>
      <c r="AJ36" t="s">
        <v>42</v>
      </c>
      <c r="AK36" t="s">
        <v>43</v>
      </c>
      <c r="AL36" t="s">
        <v>45</v>
      </c>
      <c r="AM36" t="s">
        <v>42</v>
      </c>
      <c r="AN36" t="s">
        <v>198</v>
      </c>
      <c r="AO36" t="s">
        <v>51</v>
      </c>
      <c r="AP36" t="s">
        <v>191</v>
      </c>
      <c r="AQ36" t="s">
        <v>51</v>
      </c>
      <c r="AR36" t="s">
        <v>191</v>
      </c>
      <c r="AS36" t="s">
        <v>43</v>
      </c>
      <c r="AT36" t="s">
        <v>47</v>
      </c>
      <c r="AU36" t="s">
        <v>189</v>
      </c>
      <c r="AV36" t="s">
        <v>196</v>
      </c>
      <c r="AW36" t="s">
        <v>192</v>
      </c>
    </row>
    <row r="37" spans="1:49" x14ac:dyDescent="0.2">
      <c r="A37" s="67">
        <v>103</v>
      </c>
      <c r="B37" s="50">
        <v>46.755675111443601</v>
      </c>
      <c r="C37" s="50">
        <v>33.022001198407303</v>
      </c>
      <c r="D37" s="50">
        <v>-0.68971378514945303</v>
      </c>
      <c r="E37" s="50">
        <v>23.615747642098199</v>
      </c>
      <c r="F37" s="50">
        <v>23.046356978353</v>
      </c>
      <c r="G37" s="50">
        <v>-12.4397394763231</v>
      </c>
      <c r="H37" s="50">
        <v>9.5956999190350594</v>
      </c>
      <c r="I37" s="50">
        <v>46.755675111443601</v>
      </c>
      <c r="J37" s="50" t="s">
        <v>23</v>
      </c>
      <c r="K37" s="50">
        <v>0.61363636363636398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2.27272727272727E-2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0.36363636363636398</v>
      </c>
      <c r="X37" s="50">
        <v>0</v>
      </c>
      <c r="Y37" s="50" t="s">
        <v>23</v>
      </c>
      <c r="Z37" s="50" t="s">
        <v>25</v>
      </c>
      <c r="AA37" s="50">
        <f t="shared" si="0"/>
        <v>1</v>
      </c>
      <c r="AB37" s="68">
        <f t="shared" si="1"/>
        <v>0</v>
      </c>
      <c r="AD37" t="s">
        <v>45</v>
      </c>
      <c r="AE37" t="s">
        <v>188</v>
      </c>
      <c r="AF37" t="s">
        <v>191</v>
      </c>
      <c r="AG37" t="s">
        <v>198</v>
      </c>
      <c r="AH37" t="s">
        <v>190</v>
      </c>
      <c r="AI37" t="s">
        <v>199</v>
      </c>
      <c r="AJ37" t="s">
        <v>198</v>
      </c>
      <c r="AK37" t="s">
        <v>43</v>
      </c>
      <c r="AL37" t="s">
        <v>45</v>
      </c>
      <c r="AM37" t="s">
        <v>51</v>
      </c>
      <c r="AN37" t="s">
        <v>211</v>
      </c>
      <c r="AO37" t="s">
        <v>189</v>
      </c>
      <c r="AP37" t="s">
        <v>51</v>
      </c>
      <c r="AQ37" t="s">
        <v>51</v>
      </c>
      <c r="AR37" t="s">
        <v>42</v>
      </c>
      <c r="AS37" t="s">
        <v>43</v>
      </c>
      <c r="AT37" t="s">
        <v>47</v>
      </c>
      <c r="AU37" t="s">
        <v>189</v>
      </c>
      <c r="AV37" t="s">
        <v>190</v>
      </c>
      <c r="AW37" t="s">
        <v>192</v>
      </c>
    </row>
    <row r="38" spans="1:49" x14ac:dyDescent="0.2">
      <c r="A38" s="67">
        <v>104</v>
      </c>
      <c r="B38" s="50">
        <v>-6.6157026241116803</v>
      </c>
      <c r="C38" s="50">
        <v>3.0393646345373599</v>
      </c>
      <c r="D38" s="50">
        <v>58.927538017876799</v>
      </c>
      <c r="E38" s="50">
        <v>-3.3736718126378298</v>
      </c>
      <c r="F38" s="50">
        <v>-1.83955539896524</v>
      </c>
      <c r="G38" s="50">
        <v>-5.6747404522889804</v>
      </c>
      <c r="H38" s="50">
        <v>13.421193370307501</v>
      </c>
      <c r="I38" s="50">
        <v>58.927538017876799</v>
      </c>
      <c r="J38" s="50" t="s">
        <v>24</v>
      </c>
      <c r="K38" s="50">
        <v>0</v>
      </c>
      <c r="L38" s="50">
        <v>0</v>
      </c>
      <c r="M38" s="50">
        <v>0</v>
      </c>
      <c r="N38" s="50">
        <v>0.63636363636363602</v>
      </c>
      <c r="O38" s="50">
        <v>0.36363636363636398</v>
      </c>
      <c r="P38" s="50">
        <v>0</v>
      </c>
      <c r="Q38" s="50">
        <v>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0</v>
      </c>
      <c r="Y38" s="50" t="s">
        <v>184</v>
      </c>
      <c r="Z38" s="50" t="s">
        <v>24</v>
      </c>
      <c r="AA38" s="50">
        <f t="shared" si="0"/>
        <v>0</v>
      </c>
      <c r="AB38" s="68">
        <f t="shared" si="1"/>
        <v>1</v>
      </c>
      <c r="AD38" t="s">
        <v>50</v>
      </c>
      <c r="AE38" t="s">
        <v>190</v>
      </c>
      <c r="AF38" t="s">
        <v>194</v>
      </c>
      <c r="AG38" t="s">
        <v>194</v>
      </c>
      <c r="AH38" t="s">
        <v>47</v>
      </c>
      <c r="AI38" t="s">
        <v>199</v>
      </c>
      <c r="AJ38" t="s">
        <v>43</v>
      </c>
      <c r="AK38" t="s">
        <v>43</v>
      </c>
      <c r="AL38" t="s">
        <v>45</v>
      </c>
      <c r="AM38" t="s">
        <v>43</v>
      </c>
      <c r="AN38" t="s">
        <v>198</v>
      </c>
      <c r="AO38" t="s">
        <v>190</v>
      </c>
      <c r="AP38" t="s">
        <v>47</v>
      </c>
      <c r="AQ38" t="s">
        <v>51</v>
      </c>
      <c r="AR38" t="s">
        <v>43</v>
      </c>
      <c r="AS38" t="s">
        <v>43</v>
      </c>
      <c r="AT38" t="s">
        <v>196</v>
      </c>
      <c r="AU38" t="s">
        <v>194</v>
      </c>
      <c r="AV38" t="s">
        <v>42</v>
      </c>
      <c r="AW38" t="s">
        <v>192</v>
      </c>
    </row>
    <row r="39" spans="1:49" x14ac:dyDescent="0.2">
      <c r="A39" s="67">
        <v>105</v>
      </c>
      <c r="B39" s="50">
        <v>1.60302805787415</v>
      </c>
      <c r="C39" s="50">
        <v>3.1164045497208299</v>
      </c>
      <c r="D39" s="50">
        <v>56.506854435719703</v>
      </c>
      <c r="E39" s="50">
        <v>-0.107121701057037</v>
      </c>
      <c r="F39" s="50">
        <v>11.0113516664061</v>
      </c>
      <c r="G39" s="50">
        <v>2.2937259209538499</v>
      </c>
      <c r="H39" s="50">
        <v>16.774593723349799</v>
      </c>
      <c r="I39" s="50">
        <v>56.506854435719703</v>
      </c>
      <c r="J39" s="50" t="s">
        <v>24</v>
      </c>
      <c r="K39" s="50">
        <v>0</v>
      </c>
      <c r="L39" s="50">
        <v>0</v>
      </c>
      <c r="M39" s="50">
        <v>0</v>
      </c>
      <c r="N39" s="50">
        <v>0.90909090909090895</v>
      </c>
      <c r="O39" s="50">
        <v>9.0909090909090898E-2</v>
      </c>
      <c r="P39" s="50">
        <v>0</v>
      </c>
      <c r="Q39" s="50">
        <v>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0</v>
      </c>
      <c r="Y39" s="50" t="s">
        <v>184</v>
      </c>
      <c r="Z39" s="50" t="s">
        <v>24</v>
      </c>
      <c r="AA39" s="50">
        <f t="shared" si="0"/>
        <v>0</v>
      </c>
      <c r="AB39" s="68">
        <f t="shared" si="1"/>
        <v>1</v>
      </c>
      <c r="AD39" t="s">
        <v>50</v>
      </c>
      <c r="AE39" t="s">
        <v>188</v>
      </c>
      <c r="AF39" t="s">
        <v>194</v>
      </c>
      <c r="AG39" t="s">
        <v>189</v>
      </c>
      <c r="AH39" t="s">
        <v>47</v>
      </c>
      <c r="AI39" t="s">
        <v>199</v>
      </c>
      <c r="AJ39" t="s">
        <v>43</v>
      </c>
      <c r="AK39" t="s">
        <v>43</v>
      </c>
      <c r="AL39" t="s">
        <v>45</v>
      </c>
      <c r="AM39" t="s">
        <v>42</v>
      </c>
      <c r="AN39" t="s">
        <v>198</v>
      </c>
      <c r="AO39" t="s">
        <v>190</v>
      </c>
      <c r="AP39" t="s">
        <v>191</v>
      </c>
      <c r="AQ39" t="s">
        <v>51</v>
      </c>
      <c r="AR39" t="s">
        <v>43</v>
      </c>
      <c r="AS39" t="s">
        <v>43</v>
      </c>
      <c r="AT39" t="s">
        <v>196</v>
      </c>
      <c r="AU39" t="s">
        <v>194</v>
      </c>
      <c r="AV39" t="s">
        <v>47</v>
      </c>
      <c r="AW39" t="s">
        <v>192</v>
      </c>
    </row>
    <row r="40" spans="1:49" x14ac:dyDescent="0.2">
      <c r="A40" s="70">
        <v>106</v>
      </c>
      <c r="B40" s="71">
        <v>-5.9239592059062396</v>
      </c>
      <c r="C40" s="71">
        <v>-1.248267319183</v>
      </c>
      <c r="D40" s="71">
        <v>10.3351164591671</v>
      </c>
      <c r="E40" s="71">
        <v>1.76796347053676</v>
      </c>
      <c r="F40" s="71">
        <v>6.9065236013167297</v>
      </c>
      <c r="G40" s="71">
        <v>-6.3948905358495303</v>
      </c>
      <c r="H40" s="71">
        <v>27.0462794485206</v>
      </c>
      <c r="I40" s="71">
        <v>27.0462794485206</v>
      </c>
      <c r="J40" s="71" t="s">
        <v>25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0.97727272727272696</v>
      </c>
      <c r="T40" s="71">
        <v>0</v>
      </c>
      <c r="U40" s="71">
        <v>0</v>
      </c>
      <c r="V40" s="71">
        <v>2.27272727272727E-2</v>
      </c>
      <c r="W40" s="71">
        <v>0</v>
      </c>
      <c r="X40" s="71">
        <v>0</v>
      </c>
      <c r="Y40" s="71" t="s">
        <v>142</v>
      </c>
      <c r="Z40" s="71" t="s">
        <v>144</v>
      </c>
      <c r="AA40" s="71">
        <f t="shared" si="0"/>
        <v>0</v>
      </c>
      <c r="AB40" s="72">
        <f t="shared" si="1"/>
        <v>0</v>
      </c>
      <c r="AD40" t="s">
        <v>50</v>
      </c>
      <c r="AE40" t="s">
        <v>42</v>
      </c>
      <c r="AF40" t="s">
        <v>44</v>
      </c>
      <c r="AG40" t="s">
        <v>189</v>
      </c>
      <c r="AH40" t="s">
        <v>51</v>
      </c>
      <c r="AI40" t="s">
        <v>199</v>
      </c>
      <c r="AJ40" t="s">
        <v>42</v>
      </c>
      <c r="AK40" t="s">
        <v>42</v>
      </c>
      <c r="AL40" t="s">
        <v>45</v>
      </c>
      <c r="AM40" t="s">
        <v>190</v>
      </c>
      <c r="AN40" t="s">
        <v>189</v>
      </c>
      <c r="AO40" t="s">
        <v>190</v>
      </c>
      <c r="AP40" t="s">
        <v>191</v>
      </c>
      <c r="AQ40" t="s">
        <v>51</v>
      </c>
      <c r="AR40" t="s">
        <v>198</v>
      </c>
      <c r="AS40" t="s">
        <v>43</v>
      </c>
      <c r="AT40" t="s">
        <v>47</v>
      </c>
      <c r="AU40" t="s">
        <v>43</v>
      </c>
      <c r="AV40" t="s">
        <v>188</v>
      </c>
      <c r="AW40" t="s">
        <v>192</v>
      </c>
    </row>
    <row r="41" spans="1:49" x14ac:dyDescent="0.2">
      <c r="A41" t="s">
        <v>306</v>
      </c>
    </row>
    <row r="42" spans="1:49" x14ac:dyDescent="0.2">
      <c r="AA42" s="49"/>
    </row>
  </sheetData>
  <phoneticPr fontId="5" type="noConversion"/>
  <conditionalFormatting sqref="B2:I4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X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B40 AA4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6DC2-B35B-4339-8609-D5A63355790F}">
  <sheetPr filterMode="1"/>
  <dimension ref="A1:AA192"/>
  <sheetViews>
    <sheetView topLeftCell="A161" workbookViewId="0">
      <selection activeCell="R188" sqref="R188"/>
    </sheetView>
  </sheetViews>
  <sheetFormatPr defaultRowHeight="14.25" x14ac:dyDescent="0.2"/>
  <sheetData>
    <row r="1" spans="2:23" x14ac:dyDescent="0.2">
      <c r="F1">
        <v>46</v>
      </c>
      <c r="G1">
        <v>9</v>
      </c>
      <c r="H1" t="s">
        <v>310</v>
      </c>
      <c r="O1" t="s">
        <v>125</v>
      </c>
      <c r="P1" t="s">
        <v>126</v>
      </c>
      <c r="T1" t="s">
        <v>312</v>
      </c>
      <c r="U1" t="s">
        <v>313</v>
      </c>
    </row>
    <row r="2" spans="2:23" x14ac:dyDescent="0.2">
      <c r="B2">
        <v>2</v>
      </c>
      <c r="C2">
        <v>1</v>
      </c>
      <c r="D2" t="s">
        <v>209</v>
      </c>
      <c r="E2">
        <v>4</v>
      </c>
      <c r="F2" t="s">
        <v>51</v>
      </c>
      <c r="G2" t="s">
        <v>50</v>
      </c>
      <c r="H2">
        <v>-3</v>
      </c>
      <c r="I2" t="s">
        <v>209</v>
      </c>
      <c r="J2">
        <v>2</v>
      </c>
      <c r="K2">
        <v>1</v>
      </c>
      <c r="M2">
        <v>1</v>
      </c>
      <c r="N2">
        <v>5</v>
      </c>
      <c r="O2">
        <v>0.17928971990706599</v>
      </c>
      <c r="P2">
        <v>0.326689506352701</v>
      </c>
      <c r="T2">
        <v>0.14750779465403699</v>
      </c>
      <c r="U2">
        <v>0.474030893349075</v>
      </c>
      <c r="V2">
        <f t="shared" ref="V2:V25" si="0">O2/T2</f>
        <v>1.2154592937110202</v>
      </c>
      <c r="W2">
        <f t="shared" ref="W2:W25" si="1">P2/U2</f>
        <v>0.68917345037283839</v>
      </c>
    </row>
    <row r="3" spans="2:23" x14ac:dyDescent="0.2">
      <c r="B3">
        <v>2</v>
      </c>
      <c r="C3">
        <v>2.5</v>
      </c>
      <c r="D3">
        <v>1.5</v>
      </c>
      <c r="E3">
        <v>41</v>
      </c>
      <c r="F3" t="s">
        <v>191</v>
      </c>
      <c r="G3" t="s">
        <v>47</v>
      </c>
      <c r="H3">
        <v>3</v>
      </c>
      <c r="J3">
        <v>2</v>
      </c>
      <c r="K3">
        <v>1.5</v>
      </c>
      <c r="L3" t="s">
        <v>314</v>
      </c>
      <c r="M3">
        <v>6</v>
      </c>
      <c r="N3">
        <v>12</v>
      </c>
      <c r="O3">
        <v>0.24893405458175599</v>
      </c>
      <c r="P3">
        <v>0.39891767455168098</v>
      </c>
      <c r="Q3">
        <f>O3+P3</f>
        <v>0.64785172913343692</v>
      </c>
      <c r="R3">
        <f>O3/$Q3</f>
        <v>0.38424541200920909</v>
      </c>
      <c r="S3">
        <f>P3/$Q3</f>
        <v>0.61575458799079097</v>
      </c>
      <c r="T3">
        <v>0.185031494016452</v>
      </c>
      <c r="U3">
        <v>0.43054395538703299</v>
      </c>
      <c r="V3">
        <f t="shared" si="0"/>
        <v>1.3453604528514596</v>
      </c>
      <c r="W3">
        <f t="shared" si="1"/>
        <v>0.92654343316253995</v>
      </c>
    </row>
    <row r="4" spans="2:23" hidden="1" x14ac:dyDescent="0.2">
      <c r="B4">
        <v>2</v>
      </c>
      <c r="C4">
        <v>2.5</v>
      </c>
      <c r="D4">
        <v>1.5</v>
      </c>
      <c r="E4">
        <v>51</v>
      </c>
      <c r="F4" t="s">
        <v>194</v>
      </c>
      <c r="G4" t="s">
        <v>210</v>
      </c>
      <c r="H4">
        <v>2</v>
      </c>
      <c r="I4">
        <v>1</v>
      </c>
      <c r="J4">
        <v>2</v>
      </c>
      <c r="K4">
        <v>2</v>
      </c>
      <c r="M4">
        <v>13</v>
      </c>
      <c r="N4">
        <v>18</v>
      </c>
      <c r="O4">
        <v>0.12151421589274899</v>
      </c>
      <c r="P4">
        <v>0.12871666142280799</v>
      </c>
      <c r="T4">
        <v>0.15897734492857901</v>
      </c>
      <c r="U4">
        <v>5.9882723403388703E-2</v>
      </c>
      <c r="V4">
        <f t="shared" si="0"/>
        <v>0.76434925962148614</v>
      </c>
      <c r="W4">
        <f t="shared" si="1"/>
        <v>2.1494790835702715</v>
      </c>
    </row>
    <row r="5" spans="2:23" x14ac:dyDescent="0.2">
      <c r="B5">
        <v>2</v>
      </c>
      <c r="C5">
        <v>3</v>
      </c>
      <c r="D5">
        <v>2</v>
      </c>
      <c r="E5">
        <v>58</v>
      </c>
      <c r="F5" t="s">
        <v>47</v>
      </c>
      <c r="G5" t="s">
        <v>191</v>
      </c>
      <c r="H5">
        <v>3</v>
      </c>
      <c r="J5">
        <v>2</v>
      </c>
      <c r="K5">
        <v>2.5</v>
      </c>
      <c r="L5">
        <v>1.5</v>
      </c>
      <c r="M5">
        <v>19</v>
      </c>
      <c r="N5">
        <v>55</v>
      </c>
      <c r="O5">
        <v>0.14542357109092099</v>
      </c>
      <c r="P5">
        <v>0.26805021403693002</v>
      </c>
      <c r="Q5">
        <f>O5+P5</f>
        <v>0.41347378512785105</v>
      </c>
      <c r="R5">
        <f>O5/$Q5</f>
        <v>0.35171170778324989</v>
      </c>
      <c r="S5">
        <f>P5/$Q5</f>
        <v>0.64828829221675011</v>
      </c>
      <c r="T5">
        <v>0.11951084391472799</v>
      </c>
      <c r="U5">
        <v>0.23978699459640901</v>
      </c>
      <c r="V5">
        <f t="shared" si="0"/>
        <v>1.2168232298207344</v>
      </c>
      <c r="W5">
        <f t="shared" si="1"/>
        <v>1.1178680248613628</v>
      </c>
    </row>
    <row r="6" spans="2:23" hidden="1" x14ac:dyDescent="0.2">
      <c r="B6">
        <v>2</v>
      </c>
      <c r="C6">
        <v>3</v>
      </c>
      <c r="D6">
        <v>2</v>
      </c>
      <c r="E6">
        <v>64</v>
      </c>
      <c r="F6" t="s">
        <v>47</v>
      </c>
      <c r="G6" t="s">
        <v>42</v>
      </c>
      <c r="H6">
        <v>0</v>
      </c>
      <c r="I6">
        <v>2</v>
      </c>
      <c r="J6">
        <v>2</v>
      </c>
      <c r="K6">
        <v>3</v>
      </c>
      <c r="M6">
        <v>56</v>
      </c>
      <c r="N6">
        <v>69</v>
      </c>
      <c r="O6">
        <v>1.2450823553084999E-2</v>
      </c>
      <c r="P6">
        <v>6.3002452683718999E-2</v>
      </c>
      <c r="T6">
        <v>9.5504910572460407E-3</v>
      </c>
      <c r="U6">
        <v>0.102776916707602</v>
      </c>
      <c r="V6">
        <f t="shared" si="0"/>
        <v>1.3036841224659805</v>
      </c>
      <c r="W6">
        <f t="shared" si="1"/>
        <v>0.61300197264099243</v>
      </c>
    </row>
    <row r="7" spans="2:23" x14ac:dyDescent="0.2">
      <c r="B7">
        <v>2</v>
      </c>
      <c r="C7">
        <v>3.5</v>
      </c>
      <c r="D7">
        <v>2.5</v>
      </c>
      <c r="E7">
        <v>87</v>
      </c>
      <c r="F7" t="s">
        <v>190</v>
      </c>
      <c r="G7" t="s">
        <v>192</v>
      </c>
      <c r="H7">
        <v>-1</v>
      </c>
      <c r="J7">
        <v>2</v>
      </c>
      <c r="K7">
        <v>3.5</v>
      </c>
      <c r="L7">
        <v>2.5</v>
      </c>
      <c r="M7">
        <v>70</v>
      </c>
      <c r="N7">
        <v>137</v>
      </c>
      <c r="O7">
        <v>0.33289988207529603</v>
      </c>
      <c r="P7">
        <v>0.47929557708321802</v>
      </c>
      <c r="Q7">
        <f>O7+P7</f>
        <v>0.8121954591585141</v>
      </c>
      <c r="R7">
        <f>O7/$Q7</f>
        <v>0.40987656151168511</v>
      </c>
      <c r="S7">
        <f>P7/$Q7</f>
        <v>0.59012343848831483</v>
      </c>
      <c r="T7">
        <v>0.30618407421122501</v>
      </c>
      <c r="U7">
        <v>0.33536201370240498</v>
      </c>
      <c r="V7">
        <f t="shared" si="0"/>
        <v>1.0872540739843992</v>
      </c>
      <c r="W7">
        <f t="shared" si="1"/>
        <v>1.4291886304945003</v>
      </c>
    </row>
    <row r="8" spans="2:23" hidden="1" x14ac:dyDescent="0.2">
      <c r="B8">
        <v>2</v>
      </c>
      <c r="C8">
        <v>3.5</v>
      </c>
      <c r="D8">
        <v>2.5</v>
      </c>
      <c r="E8">
        <v>101</v>
      </c>
      <c r="F8" t="s">
        <v>191</v>
      </c>
      <c r="G8" t="s">
        <v>190</v>
      </c>
      <c r="H8">
        <v>-1</v>
      </c>
      <c r="I8">
        <v>3</v>
      </c>
      <c r="J8">
        <v>2</v>
      </c>
      <c r="K8">
        <v>4</v>
      </c>
      <c r="M8">
        <v>138</v>
      </c>
      <c r="N8">
        <v>153</v>
      </c>
      <c r="O8">
        <v>9.3885861923378392E-3</v>
      </c>
      <c r="P8">
        <v>5.4710199630407901E-2</v>
      </c>
      <c r="T8">
        <v>6.8162534447084103E-3</v>
      </c>
      <c r="U8">
        <v>7.5355203140508795E-2</v>
      </c>
      <c r="V8">
        <f t="shared" si="0"/>
        <v>1.3773822039475925</v>
      </c>
      <c r="W8">
        <f t="shared" si="1"/>
        <v>0.72603081605916697</v>
      </c>
    </row>
    <row r="9" spans="2:23" x14ac:dyDescent="0.2">
      <c r="B9">
        <v>2</v>
      </c>
      <c r="C9">
        <v>3.5</v>
      </c>
      <c r="D9">
        <v>2.5</v>
      </c>
      <c r="E9">
        <v>104</v>
      </c>
      <c r="F9" t="s">
        <v>199</v>
      </c>
      <c r="G9" t="s">
        <v>43</v>
      </c>
      <c r="H9">
        <v>-1</v>
      </c>
      <c r="J9">
        <v>2</v>
      </c>
      <c r="K9">
        <v>4.5</v>
      </c>
      <c r="L9">
        <v>3.5</v>
      </c>
      <c r="M9">
        <v>154</v>
      </c>
      <c r="N9">
        <v>187</v>
      </c>
      <c r="O9">
        <v>0.121169150566867</v>
      </c>
      <c r="P9">
        <v>0.34633790075320597</v>
      </c>
      <c r="Q9">
        <f>O9+P9</f>
        <v>0.46750705132007297</v>
      </c>
      <c r="R9">
        <f>O9/$Q9</f>
        <v>0.25918143956273726</v>
      </c>
      <c r="S9">
        <f>P9/$Q9</f>
        <v>0.74081856043726269</v>
      </c>
      <c r="T9">
        <v>7.3036948463227599E-2</v>
      </c>
      <c r="U9">
        <v>0.29006514102967401</v>
      </c>
      <c r="V9">
        <f t="shared" si="0"/>
        <v>1.6590116799289998</v>
      </c>
      <c r="W9">
        <f t="shared" si="1"/>
        <v>1.1940004218492948</v>
      </c>
    </row>
    <row r="10" spans="2:23" hidden="1" x14ac:dyDescent="0.2">
      <c r="B10">
        <v>2</v>
      </c>
      <c r="C10">
        <v>3.5</v>
      </c>
      <c r="D10">
        <v>2.5</v>
      </c>
      <c r="E10">
        <v>105</v>
      </c>
      <c r="F10" t="s">
        <v>192</v>
      </c>
      <c r="G10" t="s">
        <v>45</v>
      </c>
      <c r="H10">
        <v>1</v>
      </c>
      <c r="I10">
        <v>4</v>
      </c>
      <c r="J10">
        <v>2</v>
      </c>
      <c r="K10">
        <v>5</v>
      </c>
      <c r="M10">
        <v>188</v>
      </c>
      <c r="N10">
        <v>191</v>
      </c>
      <c r="O10">
        <v>6.6807823129251695E-2</v>
      </c>
      <c r="P10">
        <v>0.169619047619048</v>
      </c>
      <c r="T10">
        <v>1.6564139941691002E-2</v>
      </c>
      <c r="U10">
        <v>3.5999999999999997E-2</v>
      </c>
      <c r="V10">
        <f t="shared" si="0"/>
        <v>4.0332805303763575</v>
      </c>
      <c r="W10">
        <f t="shared" si="1"/>
        <v>4.7116402116402227</v>
      </c>
    </row>
    <row r="11" spans="2:23" x14ac:dyDescent="0.2">
      <c r="B11">
        <v>2</v>
      </c>
      <c r="C11">
        <v>3.5</v>
      </c>
      <c r="D11">
        <v>2.5</v>
      </c>
      <c r="E11">
        <v>119</v>
      </c>
      <c r="F11" t="s">
        <v>190</v>
      </c>
      <c r="G11" t="s">
        <v>42</v>
      </c>
      <c r="H11">
        <v>0</v>
      </c>
      <c r="J11">
        <v>2</v>
      </c>
      <c r="K11">
        <v>5.5</v>
      </c>
      <c r="L11">
        <v>4.5</v>
      </c>
      <c r="M11">
        <v>192</v>
      </c>
      <c r="N11">
        <v>276</v>
      </c>
      <c r="O11">
        <v>0.12845660375021001</v>
      </c>
      <c r="P11">
        <v>0.281105815151654</v>
      </c>
      <c r="Q11">
        <f>O11+P11</f>
        <v>0.40956241890186401</v>
      </c>
      <c r="R11">
        <f>O11/$Q11</f>
        <v>0.31364353227191416</v>
      </c>
      <c r="S11">
        <f>P11/$Q11</f>
        <v>0.68635646772808589</v>
      </c>
      <c r="T11">
        <v>0.101803430148903</v>
      </c>
      <c r="U11">
        <v>0.18970151057020601</v>
      </c>
      <c r="V11">
        <f t="shared" si="0"/>
        <v>1.2618101724305624</v>
      </c>
      <c r="W11">
        <f t="shared" si="1"/>
        <v>1.4818322442805245</v>
      </c>
    </row>
    <row r="12" spans="2:23" hidden="1" x14ac:dyDescent="0.2">
      <c r="B12">
        <v>2</v>
      </c>
      <c r="C12">
        <v>3.5</v>
      </c>
      <c r="D12">
        <v>2.5</v>
      </c>
      <c r="E12">
        <v>122</v>
      </c>
      <c r="F12" t="s">
        <v>190</v>
      </c>
      <c r="G12" t="s">
        <v>42</v>
      </c>
      <c r="H12">
        <v>0</v>
      </c>
      <c r="I12">
        <v>5</v>
      </c>
      <c r="J12">
        <v>2</v>
      </c>
      <c r="K12">
        <v>6</v>
      </c>
      <c r="M12">
        <v>277</v>
      </c>
      <c r="N12">
        <v>283</v>
      </c>
      <c r="O12">
        <v>1.29198966408269E-3</v>
      </c>
      <c r="P12">
        <v>3.7304242131648797E-2</v>
      </c>
      <c r="T12">
        <v>0</v>
      </c>
      <c r="U12">
        <v>6.3942839079093997E-2</v>
      </c>
      <c r="V12" t="e">
        <f t="shared" si="0"/>
        <v>#DIV/0!</v>
      </c>
      <c r="W12">
        <f t="shared" si="1"/>
        <v>0.58339984068435513</v>
      </c>
    </row>
    <row r="13" spans="2:23" x14ac:dyDescent="0.2">
      <c r="B13">
        <v>2</v>
      </c>
      <c r="C13">
        <v>3.5</v>
      </c>
      <c r="D13">
        <v>2.5</v>
      </c>
      <c r="E13">
        <v>129</v>
      </c>
      <c r="F13" t="s">
        <v>47</v>
      </c>
      <c r="G13" t="s">
        <v>191</v>
      </c>
      <c r="H13">
        <v>3</v>
      </c>
      <c r="J13">
        <v>2</v>
      </c>
      <c r="K13">
        <v>6.5</v>
      </c>
      <c r="L13" t="s">
        <v>222</v>
      </c>
      <c r="M13">
        <v>284</v>
      </c>
      <c r="N13">
        <v>303</v>
      </c>
      <c r="O13">
        <v>4.96220422843026E-2</v>
      </c>
      <c r="P13">
        <v>0.35235181349085498</v>
      </c>
      <c r="Q13">
        <f>O13+P13</f>
        <v>0.4019738557751576</v>
      </c>
      <c r="R13">
        <f>O13/$Q13</f>
        <v>0.12344594448465446</v>
      </c>
      <c r="S13">
        <f>P13/$Q13</f>
        <v>0.87655405551534549</v>
      </c>
      <c r="T13">
        <v>3.0695549926629099E-2</v>
      </c>
      <c r="U13">
        <v>0.38768849574911401</v>
      </c>
      <c r="V13">
        <f t="shared" si="0"/>
        <v>1.6165874989343108</v>
      </c>
      <c r="W13">
        <f t="shared" si="1"/>
        <v>0.9088528995683004</v>
      </c>
    </row>
    <row r="14" spans="2:23" hidden="1" x14ac:dyDescent="0.2">
      <c r="B14">
        <v>2</v>
      </c>
      <c r="C14">
        <v>3.5</v>
      </c>
      <c r="D14">
        <v>2.5</v>
      </c>
      <c r="E14">
        <v>132</v>
      </c>
      <c r="F14" t="s">
        <v>42</v>
      </c>
      <c r="G14" t="s">
        <v>43</v>
      </c>
      <c r="H14">
        <v>0</v>
      </c>
      <c r="I14" t="s">
        <v>208</v>
      </c>
      <c r="J14">
        <v>2</v>
      </c>
      <c r="K14">
        <v>7</v>
      </c>
      <c r="M14">
        <v>304</v>
      </c>
      <c r="N14">
        <v>308</v>
      </c>
      <c r="O14">
        <v>3.0434803230957101E-2</v>
      </c>
      <c r="P14">
        <v>0.123546902622544</v>
      </c>
      <c r="T14">
        <v>1.7322485207100599E-2</v>
      </c>
      <c r="U14">
        <v>0.136967455621302</v>
      </c>
      <c r="V14">
        <f t="shared" si="0"/>
        <v>1.7569536280210922</v>
      </c>
      <c r="W14">
        <f t="shared" si="1"/>
        <v>0.90201648312819538</v>
      </c>
    </row>
    <row r="15" spans="2:23" x14ac:dyDescent="0.2">
      <c r="B15">
        <v>2</v>
      </c>
      <c r="C15">
        <v>5.5</v>
      </c>
      <c r="D15">
        <v>4.5</v>
      </c>
      <c r="E15">
        <v>201</v>
      </c>
      <c r="F15" t="s">
        <v>188</v>
      </c>
      <c r="G15" t="s">
        <v>42</v>
      </c>
      <c r="H15">
        <v>1</v>
      </c>
      <c r="J15">
        <v>2</v>
      </c>
      <c r="K15">
        <v>7.5</v>
      </c>
      <c r="L15" t="s">
        <v>309</v>
      </c>
      <c r="M15">
        <v>309</v>
      </c>
      <c r="N15">
        <v>337</v>
      </c>
      <c r="O15">
        <v>0.110861148367669</v>
      </c>
      <c r="P15">
        <v>0.180184516491431</v>
      </c>
      <c r="Q15">
        <f>O15+P15</f>
        <v>0.2910456648591</v>
      </c>
      <c r="R15">
        <f>O15/$Q15</f>
        <v>0.3809063722743945</v>
      </c>
      <c r="S15">
        <f>P15/$Q15</f>
        <v>0.6190936277256055</v>
      </c>
      <c r="T15">
        <v>0.13533371468460301</v>
      </c>
      <c r="U15">
        <v>0.16273238751065799</v>
      </c>
      <c r="V15">
        <f t="shared" si="0"/>
        <v>0.81916873874357443</v>
      </c>
      <c r="W15">
        <f t="shared" si="1"/>
        <v>1.1072443491289035</v>
      </c>
    </row>
    <row r="16" spans="2:23" hidden="1" x14ac:dyDescent="0.2">
      <c r="B16">
        <v>2</v>
      </c>
      <c r="C16">
        <v>5.5</v>
      </c>
      <c r="D16">
        <v>4.5</v>
      </c>
      <c r="E16">
        <v>242</v>
      </c>
      <c r="F16" t="s">
        <v>192</v>
      </c>
      <c r="G16" t="s">
        <v>195</v>
      </c>
      <c r="H16">
        <v>2</v>
      </c>
      <c r="I16">
        <v>6</v>
      </c>
      <c r="J16">
        <v>2</v>
      </c>
      <c r="K16">
        <v>8</v>
      </c>
      <c r="M16">
        <v>338</v>
      </c>
      <c r="N16">
        <v>352</v>
      </c>
      <c r="O16">
        <v>5.5074497128390397E-3</v>
      </c>
      <c r="P16">
        <v>0.103752957152072</v>
      </c>
      <c r="T16">
        <v>4.12753169181741E-3</v>
      </c>
      <c r="U16">
        <v>8.9235258135244896E-2</v>
      </c>
      <c r="V16">
        <f t="shared" si="0"/>
        <v>1.334320393894791</v>
      </c>
      <c r="W16">
        <f t="shared" si="1"/>
        <v>1.1626901666471798</v>
      </c>
    </row>
    <row r="17" spans="2:23" x14ac:dyDescent="0.2">
      <c r="B17">
        <v>2</v>
      </c>
      <c r="C17">
        <v>5.5</v>
      </c>
      <c r="D17">
        <v>4.5</v>
      </c>
      <c r="E17">
        <v>248</v>
      </c>
      <c r="F17" t="s">
        <v>210</v>
      </c>
      <c r="G17" t="s">
        <v>196</v>
      </c>
      <c r="H17">
        <v>1</v>
      </c>
      <c r="J17">
        <v>2</v>
      </c>
      <c r="K17">
        <v>8.5</v>
      </c>
      <c r="L17">
        <v>6.5</v>
      </c>
      <c r="M17">
        <v>353</v>
      </c>
      <c r="N17">
        <v>386</v>
      </c>
      <c r="O17">
        <v>0.26365137835469898</v>
      </c>
      <c r="P17">
        <v>0.40570636987683101</v>
      </c>
      <c r="Q17">
        <f>O17+P17</f>
        <v>0.66935774823153005</v>
      </c>
      <c r="R17">
        <f>O17/$Q17</f>
        <v>0.39388709408575084</v>
      </c>
      <c r="S17">
        <f>P17/$Q17</f>
        <v>0.60611290591424904</v>
      </c>
      <c r="T17">
        <v>0.257181213119616</v>
      </c>
      <c r="U17">
        <v>0.38111427906935702</v>
      </c>
      <c r="V17">
        <f t="shared" si="0"/>
        <v>1.0251580010709167</v>
      </c>
      <c r="W17">
        <f t="shared" si="1"/>
        <v>1.064526815598527</v>
      </c>
    </row>
    <row r="18" spans="2:23" hidden="1" x14ac:dyDescent="0.2">
      <c r="B18">
        <v>2</v>
      </c>
      <c r="C18">
        <v>5.5</v>
      </c>
      <c r="D18">
        <v>4.5</v>
      </c>
      <c r="E18">
        <v>268</v>
      </c>
      <c r="F18" t="s">
        <v>194</v>
      </c>
      <c r="G18" t="s">
        <v>189</v>
      </c>
      <c r="H18">
        <v>3</v>
      </c>
      <c r="I18">
        <v>7</v>
      </c>
      <c r="J18">
        <v>2</v>
      </c>
      <c r="K18">
        <v>9</v>
      </c>
      <c r="M18">
        <v>387</v>
      </c>
      <c r="N18">
        <v>392</v>
      </c>
      <c r="O18">
        <v>1.1009325920388301E-2</v>
      </c>
      <c r="P18">
        <v>6.4623999572336305E-2</v>
      </c>
      <c r="T18">
        <v>1.7011429067594799E-2</v>
      </c>
      <c r="U18">
        <v>1.9886363636363601E-2</v>
      </c>
      <c r="V18">
        <f t="shared" si="0"/>
        <v>0.64717231436834721</v>
      </c>
      <c r="W18">
        <f t="shared" si="1"/>
        <v>3.2496639784946315</v>
      </c>
    </row>
    <row r="19" spans="2:23" x14ac:dyDescent="0.2">
      <c r="B19">
        <v>2</v>
      </c>
      <c r="C19">
        <v>7.5</v>
      </c>
      <c r="D19" t="s">
        <v>309</v>
      </c>
      <c r="E19">
        <v>329</v>
      </c>
      <c r="F19" t="s">
        <v>197</v>
      </c>
      <c r="G19" t="s">
        <v>188</v>
      </c>
      <c r="H19">
        <v>-1</v>
      </c>
      <c r="J19">
        <v>2</v>
      </c>
      <c r="K19">
        <v>9.5</v>
      </c>
      <c r="L19">
        <v>7.5</v>
      </c>
      <c r="M19">
        <v>393</v>
      </c>
      <c r="N19">
        <v>404</v>
      </c>
      <c r="O19">
        <v>0.13305402626955501</v>
      </c>
      <c r="P19">
        <v>0.383311029269787</v>
      </c>
      <c r="Q19">
        <f>O19+P19</f>
        <v>0.51636505553934198</v>
      </c>
      <c r="R19">
        <f>O19/$Q19</f>
        <v>0.25767434268103295</v>
      </c>
      <c r="S19">
        <f>P19/$Q19</f>
        <v>0.74232565731896716</v>
      </c>
      <c r="T19">
        <v>8.4353772037324207E-2</v>
      </c>
      <c r="U19">
        <v>0.30125195481976402</v>
      </c>
      <c r="V19">
        <f t="shared" si="0"/>
        <v>1.5773334500167022</v>
      </c>
      <c r="W19">
        <f t="shared" si="1"/>
        <v>1.2723935003147717</v>
      </c>
    </row>
    <row r="20" spans="2:23" hidden="1" x14ac:dyDescent="0.2">
      <c r="B20">
        <v>2</v>
      </c>
      <c r="C20">
        <v>8.5</v>
      </c>
      <c r="D20">
        <v>6.5</v>
      </c>
      <c r="E20">
        <v>364</v>
      </c>
      <c r="F20" t="s">
        <v>192</v>
      </c>
      <c r="G20" t="s">
        <v>45</v>
      </c>
      <c r="H20">
        <v>1</v>
      </c>
      <c r="I20">
        <v>8</v>
      </c>
      <c r="J20">
        <v>2</v>
      </c>
      <c r="K20">
        <v>10</v>
      </c>
      <c r="M20">
        <v>405</v>
      </c>
      <c r="N20">
        <v>414</v>
      </c>
      <c r="O20">
        <v>7.3164757951919004E-3</v>
      </c>
      <c r="P20">
        <v>1.8906261929510702E-2</v>
      </c>
      <c r="T20">
        <v>9.3224257677878807E-3</v>
      </c>
      <c r="U20">
        <v>2.3378767730496498E-2</v>
      </c>
      <c r="V20">
        <f t="shared" si="0"/>
        <v>0.7848253209451973</v>
      </c>
      <c r="W20">
        <f t="shared" si="1"/>
        <v>0.80869368939614283</v>
      </c>
    </row>
    <row r="21" spans="2:23" x14ac:dyDescent="0.2">
      <c r="B21">
        <v>2</v>
      </c>
      <c r="C21">
        <v>8.5</v>
      </c>
      <c r="D21">
        <v>6.5</v>
      </c>
      <c r="E21">
        <v>375</v>
      </c>
      <c r="F21" t="s">
        <v>197</v>
      </c>
      <c r="G21" t="s">
        <v>189</v>
      </c>
      <c r="H21">
        <v>-2</v>
      </c>
      <c r="J21">
        <v>2</v>
      </c>
      <c r="K21">
        <v>10.5</v>
      </c>
      <c r="L21">
        <v>8.5</v>
      </c>
      <c r="M21">
        <v>415</v>
      </c>
      <c r="N21">
        <v>505</v>
      </c>
      <c r="O21">
        <v>0.26458416035587401</v>
      </c>
      <c r="P21">
        <v>0.42671731037666699</v>
      </c>
      <c r="Q21">
        <f>O21+P21</f>
        <v>0.691301470732541</v>
      </c>
      <c r="R21">
        <f>O21/$Q21</f>
        <v>0.38273339716101878</v>
      </c>
      <c r="S21">
        <f>P21/$Q21</f>
        <v>0.61726660283898127</v>
      </c>
      <c r="T21">
        <v>0.23038528544259301</v>
      </c>
      <c r="U21">
        <v>0.324166691995176</v>
      </c>
      <c r="V21">
        <f t="shared" si="0"/>
        <v>1.1484420971052103</v>
      </c>
      <c r="W21">
        <f t="shared" si="1"/>
        <v>1.3163514972815809</v>
      </c>
    </row>
    <row r="22" spans="2:23" hidden="1" x14ac:dyDescent="0.2">
      <c r="B22">
        <v>2</v>
      </c>
      <c r="C22">
        <v>8.5</v>
      </c>
      <c r="D22">
        <v>6.5</v>
      </c>
      <c r="E22">
        <v>379</v>
      </c>
      <c r="F22" t="s">
        <v>190</v>
      </c>
      <c r="G22" t="s">
        <v>42</v>
      </c>
      <c r="H22">
        <v>0</v>
      </c>
      <c r="I22">
        <v>9</v>
      </c>
      <c r="J22">
        <v>2</v>
      </c>
      <c r="K22">
        <v>11</v>
      </c>
      <c r="M22">
        <v>506</v>
      </c>
      <c r="N22">
        <v>512</v>
      </c>
      <c r="O22">
        <v>6.0524886995161897E-3</v>
      </c>
      <c r="P22">
        <v>4.0647582240446602E-2</v>
      </c>
      <c r="T22">
        <v>5.6067919089592697E-3</v>
      </c>
      <c r="U22">
        <v>6.0380608974358999E-2</v>
      </c>
      <c r="V22">
        <f t="shared" si="0"/>
        <v>1.0794923010866031</v>
      </c>
      <c r="W22">
        <f t="shared" si="1"/>
        <v>0.67318933894336597</v>
      </c>
    </row>
    <row r="23" spans="2:23" x14ac:dyDescent="0.2">
      <c r="B23">
        <v>2</v>
      </c>
      <c r="C23">
        <v>9.5</v>
      </c>
      <c r="D23">
        <v>7.5</v>
      </c>
      <c r="E23">
        <v>398</v>
      </c>
      <c r="F23" t="s">
        <v>199</v>
      </c>
      <c r="G23" t="s">
        <v>196</v>
      </c>
      <c r="H23">
        <v>1</v>
      </c>
      <c r="J23">
        <v>2</v>
      </c>
      <c r="K23">
        <v>11.5</v>
      </c>
      <c r="L23">
        <v>9.5</v>
      </c>
      <c r="M23">
        <v>513</v>
      </c>
      <c r="N23">
        <v>526</v>
      </c>
      <c r="O23">
        <v>6.9628413793440896E-2</v>
      </c>
      <c r="P23">
        <v>0.28750956137033401</v>
      </c>
      <c r="Q23">
        <f>O23+P23</f>
        <v>0.35713797516377488</v>
      </c>
      <c r="R23">
        <f>O23/$Q23</f>
        <v>0.19496222366582827</v>
      </c>
      <c r="S23">
        <f>P23/$Q23</f>
        <v>0.80503777633417184</v>
      </c>
      <c r="T23">
        <v>6.7094079174779303E-2</v>
      </c>
      <c r="U23">
        <v>0.27970922415822103</v>
      </c>
      <c r="V23">
        <f t="shared" si="0"/>
        <v>1.0377728504486914</v>
      </c>
      <c r="W23">
        <f t="shared" si="1"/>
        <v>1.0278873077410584</v>
      </c>
    </row>
    <row r="24" spans="2:23" hidden="1" x14ac:dyDescent="0.2">
      <c r="B24">
        <v>2</v>
      </c>
      <c r="C24">
        <v>10.5</v>
      </c>
      <c r="D24">
        <v>8.5</v>
      </c>
      <c r="E24">
        <v>429</v>
      </c>
      <c r="F24" t="s">
        <v>42</v>
      </c>
      <c r="G24" t="s">
        <v>47</v>
      </c>
      <c r="H24">
        <v>0</v>
      </c>
      <c r="I24">
        <v>10</v>
      </c>
      <c r="J24">
        <v>2</v>
      </c>
      <c r="K24">
        <v>12</v>
      </c>
      <c r="M24">
        <v>527</v>
      </c>
      <c r="N24">
        <v>532</v>
      </c>
      <c r="O24">
        <v>3.3944850234980999E-2</v>
      </c>
      <c r="P24">
        <v>8.3288035785063094E-2</v>
      </c>
      <c r="T24">
        <v>2.9216716413081299E-2</v>
      </c>
      <c r="U24">
        <v>0.101901683087028</v>
      </c>
      <c r="V24">
        <f t="shared" si="0"/>
        <v>1.1618297468836285</v>
      </c>
      <c r="W24">
        <f t="shared" si="1"/>
        <v>0.81733719465587107</v>
      </c>
    </row>
    <row r="25" spans="2:23" x14ac:dyDescent="0.2">
      <c r="B25">
        <v>2</v>
      </c>
      <c r="C25">
        <v>10.5</v>
      </c>
      <c r="D25">
        <v>8.5</v>
      </c>
      <c r="E25">
        <v>437</v>
      </c>
      <c r="F25" t="s">
        <v>47</v>
      </c>
      <c r="G25" t="s">
        <v>42</v>
      </c>
      <c r="H25">
        <v>0</v>
      </c>
      <c r="J25">
        <v>3</v>
      </c>
      <c r="K25">
        <v>12.5</v>
      </c>
      <c r="L25">
        <v>10.5</v>
      </c>
      <c r="M25">
        <v>533</v>
      </c>
      <c r="N25">
        <v>566</v>
      </c>
      <c r="O25">
        <v>0.32285334733261001</v>
      </c>
      <c r="P25">
        <v>0.52607816832621002</v>
      </c>
      <c r="Q25">
        <f t="shared" ref="Q25" si="2">O25+P25</f>
        <v>0.84893151565881997</v>
      </c>
      <c r="R25">
        <f>O25/$Q25</f>
        <v>0.38030552686226654</v>
      </c>
      <c r="S25">
        <f>P25/$Q25</f>
        <v>0.61969447313773351</v>
      </c>
      <c r="T25">
        <v>0.27878176109552399</v>
      </c>
      <c r="U25">
        <v>0.44074519864495199</v>
      </c>
      <c r="V25">
        <f t="shared" si="0"/>
        <v>1.1580863327066255</v>
      </c>
      <c r="W25">
        <f t="shared" si="1"/>
        <v>1.1936106619961142</v>
      </c>
    </row>
    <row r="26" spans="2:23" x14ac:dyDescent="0.2">
      <c r="B26">
        <v>2</v>
      </c>
      <c r="C26">
        <v>10.5</v>
      </c>
      <c r="D26">
        <v>8.5</v>
      </c>
      <c r="E26">
        <v>444</v>
      </c>
      <c r="F26" t="s">
        <v>191</v>
      </c>
      <c r="G26" t="s">
        <v>47</v>
      </c>
      <c r="H26">
        <v>3</v>
      </c>
      <c r="O26">
        <f>MIN(O1:O25)</f>
        <v>1.29198966408269E-3</v>
      </c>
      <c r="P26">
        <f>MIN(P1:P25)</f>
        <v>1.8906261929510702E-2</v>
      </c>
    </row>
    <row r="27" spans="2:23" x14ac:dyDescent="0.2">
      <c r="B27">
        <v>2</v>
      </c>
      <c r="C27">
        <v>10.5</v>
      </c>
      <c r="D27">
        <v>8.5</v>
      </c>
      <c r="E27">
        <v>487</v>
      </c>
      <c r="F27" t="s">
        <v>198</v>
      </c>
      <c r="G27" t="s">
        <v>51</v>
      </c>
      <c r="H27">
        <v>2</v>
      </c>
    </row>
    <row r="28" spans="2:23" x14ac:dyDescent="0.2">
      <c r="B28">
        <v>2</v>
      </c>
      <c r="C28">
        <v>10.5</v>
      </c>
      <c r="D28">
        <v>8.5</v>
      </c>
      <c r="E28">
        <v>490</v>
      </c>
      <c r="F28" t="s">
        <v>196</v>
      </c>
      <c r="G28" t="s">
        <v>199</v>
      </c>
      <c r="H28">
        <v>1</v>
      </c>
    </row>
    <row r="29" spans="2:23" x14ac:dyDescent="0.2">
      <c r="B29">
        <v>2</v>
      </c>
      <c r="C29">
        <v>10.5</v>
      </c>
      <c r="D29">
        <v>8.5</v>
      </c>
      <c r="E29">
        <v>498</v>
      </c>
      <c r="F29" t="s">
        <v>42</v>
      </c>
      <c r="G29" t="s">
        <v>47</v>
      </c>
      <c r="H29">
        <v>0</v>
      </c>
    </row>
    <row r="30" spans="2:23" x14ac:dyDescent="0.2">
      <c r="B30">
        <v>2</v>
      </c>
      <c r="C30">
        <v>10.5</v>
      </c>
      <c r="D30">
        <v>8.5</v>
      </c>
      <c r="E30">
        <v>504</v>
      </c>
      <c r="F30" t="s">
        <v>191</v>
      </c>
      <c r="G30" t="s">
        <v>47</v>
      </c>
      <c r="H30">
        <v>3</v>
      </c>
    </row>
    <row r="31" spans="2:23" x14ac:dyDescent="0.2">
      <c r="B31">
        <v>3</v>
      </c>
      <c r="C31">
        <v>0.5</v>
      </c>
      <c r="D31">
        <v>12.5</v>
      </c>
      <c r="E31">
        <v>533</v>
      </c>
      <c r="F31" t="s">
        <v>188</v>
      </c>
      <c r="G31" t="s">
        <v>43</v>
      </c>
      <c r="H31">
        <v>0</v>
      </c>
    </row>
    <row r="32" spans="2:23" x14ac:dyDescent="0.2">
      <c r="B32">
        <v>3</v>
      </c>
      <c r="C32">
        <v>0.5</v>
      </c>
      <c r="D32">
        <v>12.5</v>
      </c>
      <c r="E32">
        <v>538</v>
      </c>
      <c r="F32" t="s">
        <v>195</v>
      </c>
      <c r="G32" t="s">
        <v>197</v>
      </c>
      <c r="H32">
        <v>-3</v>
      </c>
    </row>
    <row r="33" spans="2:24" x14ac:dyDescent="0.2">
      <c r="B33">
        <v>3</v>
      </c>
      <c r="C33">
        <v>0.5</v>
      </c>
      <c r="D33">
        <v>12.5</v>
      </c>
      <c r="E33">
        <v>565</v>
      </c>
      <c r="F33" t="s">
        <v>50</v>
      </c>
      <c r="G33" t="s">
        <v>195</v>
      </c>
      <c r="H33">
        <v>-2</v>
      </c>
    </row>
    <row r="34" spans="2:24" x14ac:dyDescent="0.2">
      <c r="B34" t="s">
        <v>311</v>
      </c>
    </row>
    <row r="46" spans="2:24" x14ac:dyDescent="0.2">
      <c r="G46">
        <v>7</v>
      </c>
      <c r="H46">
        <v>44</v>
      </c>
      <c r="I46">
        <v>46</v>
      </c>
      <c r="J46">
        <v>74</v>
      </c>
      <c r="K46">
        <v>77</v>
      </c>
      <c r="L46">
        <v>103</v>
      </c>
      <c r="S46">
        <v>0.56000000000000005</v>
      </c>
      <c r="T46">
        <v>0.5</v>
      </c>
      <c r="U46">
        <v>0.54166666666666696</v>
      </c>
      <c r="V46">
        <v>0.54545454545454497</v>
      </c>
      <c r="W46">
        <v>0.60227272727272696</v>
      </c>
      <c r="X46">
        <v>0.61363636363636398</v>
      </c>
    </row>
    <row r="47" spans="2:24" x14ac:dyDescent="0.2">
      <c r="G47" t="s">
        <v>315</v>
      </c>
      <c r="H47" t="s">
        <v>316</v>
      </c>
      <c r="I47" t="s">
        <v>317</v>
      </c>
      <c r="J47" t="s">
        <v>318</v>
      </c>
      <c r="K47" t="s">
        <v>319</v>
      </c>
      <c r="L47" t="s">
        <v>320</v>
      </c>
      <c r="M47" t="s">
        <v>321</v>
      </c>
      <c r="N47" t="s">
        <v>322</v>
      </c>
      <c r="O47" t="s">
        <v>323</v>
      </c>
      <c r="P47" t="s">
        <v>324</v>
      </c>
      <c r="Q47" t="s">
        <v>325</v>
      </c>
      <c r="R47" t="s">
        <v>326</v>
      </c>
      <c r="S47" t="s">
        <v>327</v>
      </c>
    </row>
    <row r="48" spans="2:24" hidden="1" x14ac:dyDescent="0.2">
      <c r="B48" t="s">
        <v>209</v>
      </c>
      <c r="C48">
        <v>2</v>
      </c>
      <c r="D48">
        <v>1</v>
      </c>
      <c r="E48">
        <v>1</v>
      </c>
      <c r="F48">
        <v>5</v>
      </c>
      <c r="G48">
        <v>0.24625326448243101</v>
      </c>
      <c r="H48">
        <v>0.22169912979436801</v>
      </c>
      <c r="I48">
        <v>0.130520396534682</v>
      </c>
      <c r="J48">
        <v>0.124038277046519</v>
      </c>
      <c r="K48">
        <v>0.130520396534682</v>
      </c>
      <c r="L48">
        <v>0.22270685504971199</v>
      </c>
      <c r="M48">
        <v>0.35920589826839799</v>
      </c>
      <c r="N48">
        <v>0.499130190796858</v>
      </c>
      <c r="O48">
        <v>0.224818181818182</v>
      </c>
      <c r="P48">
        <v>0.26379662004662002</v>
      </c>
      <c r="Q48">
        <v>0.224818181818182</v>
      </c>
      <c r="R48">
        <v>0.38836796536796497</v>
      </c>
      <c r="S48">
        <f>G48/(G48+M48)</f>
        <v>0.406721509281666</v>
      </c>
      <c r="T48">
        <f t="shared" ref="T48:X48" si="3">H48/(H48+N48)</f>
        <v>0.30756119855464514</v>
      </c>
      <c r="U48">
        <f t="shared" si="3"/>
        <v>0.3673127672759206</v>
      </c>
      <c r="V48">
        <f t="shared" si="3"/>
        <v>0.31982237280914683</v>
      </c>
      <c r="W48">
        <f t="shared" si="3"/>
        <v>0.3673127672759206</v>
      </c>
      <c r="X48">
        <f t="shared" si="3"/>
        <v>0.36445104201395367</v>
      </c>
    </row>
    <row r="49" spans="2:27" x14ac:dyDescent="0.2">
      <c r="C49">
        <v>2</v>
      </c>
      <c r="D49">
        <v>1.5</v>
      </c>
      <c r="E49">
        <v>6</v>
      </c>
      <c r="F49">
        <v>12</v>
      </c>
      <c r="G49">
        <v>0.365246117548779</v>
      </c>
      <c r="H49">
        <v>0.23625022009712299</v>
      </c>
      <c r="I49">
        <v>0.230849964471005</v>
      </c>
      <c r="J49">
        <v>0.21924052683796899</v>
      </c>
      <c r="K49">
        <v>0.25585396578133701</v>
      </c>
      <c r="L49">
        <v>0.18616353275432199</v>
      </c>
      <c r="M49">
        <v>0.47238337408134001</v>
      </c>
      <c r="N49">
        <v>0.34676671481600801</v>
      </c>
      <c r="O49">
        <v>0.39327407639885198</v>
      </c>
      <c r="P49">
        <v>0.42522831594350702</v>
      </c>
      <c r="Q49">
        <v>0.35252558204853801</v>
      </c>
      <c r="R49">
        <v>0.403327984021839</v>
      </c>
      <c r="S49">
        <f t="shared" ref="S49:S71" si="4">G49/(G49+M49)</f>
        <v>0.43604734694568825</v>
      </c>
      <c r="T49">
        <f t="shared" ref="T49:T71" si="5">H49/(H49+N49)</f>
        <v>0.40522016763084945</v>
      </c>
      <c r="U49">
        <f t="shared" ref="U49:U71" si="6">I49/(I49+O49)</f>
        <v>0.36987834044858098</v>
      </c>
      <c r="V49">
        <f t="shared" ref="V49:V71" si="7">J49/(J49+P49)</f>
        <v>0.3401879381658614</v>
      </c>
      <c r="W49">
        <f t="shared" ref="W49:W71" si="8">K49/(K49+Q49)</f>
        <v>0.4205499127871456</v>
      </c>
      <c r="X49">
        <f t="shared" ref="X49:X71" si="9">L49/(L49+R49)</f>
        <v>0.31580358233553879</v>
      </c>
      <c r="Y49">
        <f>CORREL($S$46:$X$46,S49:X49)</f>
        <v>-0.24959194403618634</v>
      </c>
      <c r="Z49">
        <f>CORREL($S$46:$X$46,G49:L49)</f>
        <v>-0.12014648199211118</v>
      </c>
      <c r="AA49">
        <f>CORREL($S$46:$X$46,M49:R49)</f>
        <v>0.11423954312351121</v>
      </c>
    </row>
    <row r="50" spans="2:27" hidden="1" x14ac:dyDescent="0.2">
      <c r="B50">
        <v>1</v>
      </c>
      <c r="C50">
        <v>2</v>
      </c>
      <c r="D50">
        <v>2</v>
      </c>
      <c r="E50">
        <v>13</v>
      </c>
      <c r="F50">
        <v>18</v>
      </c>
      <c r="G50">
        <v>0.10259692106188199</v>
      </c>
      <c r="H50">
        <v>0.10259692106188199</v>
      </c>
      <c r="I50">
        <v>0.15961005825913399</v>
      </c>
      <c r="J50">
        <v>0.121494624940194</v>
      </c>
      <c r="K50">
        <v>0.1112338885598</v>
      </c>
      <c r="L50">
        <v>0.131552881473604</v>
      </c>
      <c r="M50">
        <v>6.8571149843912604E-2</v>
      </c>
      <c r="N50">
        <v>6.8571149843912604E-2</v>
      </c>
      <c r="O50">
        <v>0.110385928335777</v>
      </c>
      <c r="P50">
        <v>0.18445511304512299</v>
      </c>
      <c r="Q50">
        <v>0.110730672969967</v>
      </c>
      <c r="R50">
        <v>0.229585954498155</v>
      </c>
      <c r="S50">
        <f t="shared" si="4"/>
        <v>0.59939286876901265</v>
      </c>
      <c r="T50">
        <f t="shared" si="5"/>
        <v>0.59939286876901265</v>
      </c>
      <c r="U50">
        <f t="shared" si="6"/>
        <v>0.59115715115649203</v>
      </c>
      <c r="V50">
        <f t="shared" si="7"/>
        <v>0.397106484680254</v>
      </c>
      <c r="W50">
        <f t="shared" si="8"/>
        <v>0.50113354939717591</v>
      </c>
      <c r="X50">
        <f t="shared" si="9"/>
        <v>0.36427231959038436</v>
      </c>
    </row>
    <row r="51" spans="2:27" x14ac:dyDescent="0.2">
      <c r="C51">
        <v>2</v>
      </c>
      <c r="D51">
        <v>2.5</v>
      </c>
      <c r="E51">
        <v>19</v>
      </c>
      <c r="F51">
        <v>55</v>
      </c>
      <c r="G51">
        <v>0.14451171833256499</v>
      </c>
      <c r="H51">
        <v>0.135345605385706</v>
      </c>
      <c r="I51">
        <v>0.12245768582446501</v>
      </c>
      <c r="J51">
        <v>0.20760745293732499</v>
      </c>
      <c r="K51">
        <v>0.14066862603217301</v>
      </c>
      <c r="L51">
        <v>0.121950338033292</v>
      </c>
      <c r="M51">
        <v>0.26619105072405003</v>
      </c>
      <c r="N51">
        <v>0.235107310307444</v>
      </c>
      <c r="O51">
        <v>0.240355714521511</v>
      </c>
      <c r="P51">
        <v>0.28706916613861799</v>
      </c>
      <c r="Q51">
        <v>0.29412353578648798</v>
      </c>
      <c r="R51">
        <v>0.28545450674346901</v>
      </c>
      <c r="S51">
        <f t="shared" si="4"/>
        <v>0.35186448502528644</v>
      </c>
      <c r="T51">
        <f t="shared" si="5"/>
        <v>0.36535170773986886</v>
      </c>
      <c r="U51">
        <f t="shared" si="6"/>
        <v>0.33752249974143822</v>
      </c>
      <c r="V51">
        <f t="shared" si="7"/>
        <v>0.41968317266568245</v>
      </c>
      <c r="W51">
        <f t="shared" si="8"/>
        <v>0.32353073119759174</v>
      </c>
      <c r="X51">
        <f t="shared" si="9"/>
        <v>0.29933453074205624</v>
      </c>
      <c r="Y51">
        <f>CORREL($S$46:$X$46,S51:X51)</f>
        <v>-0.63967168478478731</v>
      </c>
      <c r="Z51">
        <f>CORREL($S$46:$X$46,G51:L51)</f>
        <v>-0.200314116526466</v>
      </c>
      <c r="AA51">
        <f>CORREL($S$46:$X$46,M51:R51)</f>
        <v>0.79916913567353498</v>
      </c>
    </row>
    <row r="52" spans="2:27" hidden="1" x14ac:dyDescent="0.2">
      <c r="B52">
        <v>2</v>
      </c>
      <c r="C52">
        <v>2</v>
      </c>
      <c r="D52">
        <v>3</v>
      </c>
      <c r="E52">
        <v>56</v>
      </c>
      <c r="F52">
        <v>69</v>
      </c>
      <c r="G52">
        <v>1.44886867297826E-2</v>
      </c>
      <c r="H52">
        <v>1.44886867297826E-2</v>
      </c>
      <c r="I52">
        <v>2.6409680956145199E-2</v>
      </c>
      <c r="J52">
        <v>5.3945954640268797E-3</v>
      </c>
      <c r="K52">
        <v>4.0468498415580402E-3</v>
      </c>
      <c r="L52">
        <v>9.8764415972147201E-3</v>
      </c>
      <c r="M52">
        <v>5.8932149977490501E-2</v>
      </c>
      <c r="N52">
        <v>5.8932149977490501E-2</v>
      </c>
      <c r="O52">
        <v>9.3067056541395701E-2</v>
      </c>
      <c r="P52">
        <v>5.6245655581075103E-2</v>
      </c>
      <c r="Q52">
        <v>5.9227989441622497E-2</v>
      </c>
      <c r="R52">
        <v>5.1609714583239701E-2</v>
      </c>
      <c r="S52">
        <f t="shared" si="4"/>
        <v>0.19733753222601647</v>
      </c>
      <c r="T52">
        <f t="shared" si="5"/>
        <v>0.19733753222601647</v>
      </c>
      <c r="U52">
        <f t="shared" si="6"/>
        <v>0.22104454397818463</v>
      </c>
      <c r="V52">
        <f t="shared" si="7"/>
        <v>8.7517415529013182E-2</v>
      </c>
      <c r="W52">
        <f t="shared" si="8"/>
        <v>6.3956698861718925E-2</v>
      </c>
      <c r="X52">
        <f t="shared" si="9"/>
        <v>0.16062870426033074</v>
      </c>
    </row>
    <row r="53" spans="2:27" x14ac:dyDescent="0.2">
      <c r="C53">
        <v>2</v>
      </c>
      <c r="D53">
        <v>3.5</v>
      </c>
      <c r="E53">
        <v>70</v>
      </c>
      <c r="F53">
        <v>137</v>
      </c>
      <c r="G53">
        <v>0.3503916061024</v>
      </c>
      <c r="H53">
        <v>0.33929691641788701</v>
      </c>
      <c r="I53">
        <v>0.25043564038215699</v>
      </c>
      <c r="J53">
        <v>0.367552183834992</v>
      </c>
      <c r="K53">
        <v>0.33117482797542103</v>
      </c>
      <c r="L53">
        <v>0.35854811773891898</v>
      </c>
      <c r="M53">
        <v>0.45875211935501398</v>
      </c>
      <c r="N53">
        <v>0.44918076986686001</v>
      </c>
      <c r="O53">
        <v>0.46370845462521598</v>
      </c>
      <c r="P53">
        <v>0.50537237546220304</v>
      </c>
      <c r="Q53">
        <v>0.44129217343682098</v>
      </c>
      <c r="R53">
        <v>0.557467569753197</v>
      </c>
      <c r="S53">
        <f t="shared" si="4"/>
        <v>0.43304000893576905</v>
      </c>
      <c r="T53">
        <f t="shared" si="5"/>
        <v>0.43031898342821961</v>
      </c>
      <c r="U53">
        <f t="shared" si="6"/>
        <v>0.35067942468889479</v>
      </c>
      <c r="V53">
        <f t="shared" si="7"/>
        <v>0.42105836056544671</v>
      </c>
      <c r="W53">
        <f t="shared" si="8"/>
        <v>0.42872359255471049</v>
      </c>
      <c r="X53">
        <f t="shared" si="9"/>
        <v>0.39142137261923798</v>
      </c>
      <c r="Y53">
        <f>CORREL($S$46:$X$46,S53:X53)</f>
        <v>-7.2603568618374983E-2</v>
      </c>
      <c r="Z53">
        <f>CORREL($S$46:$X$46,G53:L53)</f>
        <v>0.21627296245897509</v>
      </c>
      <c r="AA53">
        <f>CORREL($S$46:$X$46,M53:R53)</f>
        <v>0.46257561824952476</v>
      </c>
    </row>
    <row r="54" spans="2:27" hidden="1" x14ac:dyDescent="0.2">
      <c r="B54">
        <v>3</v>
      </c>
      <c r="C54">
        <v>2</v>
      </c>
      <c r="D54">
        <v>4</v>
      </c>
      <c r="E54">
        <v>138</v>
      </c>
      <c r="F54">
        <v>153</v>
      </c>
      <c r="G54">
        <v>2.7214820557841398E-3</v>
      </c>
      <c r="H54">
        <v>2.7214820557841398E-3</v>
      </c>
      <c r="I54">
        <v>2.7214820557841398E-3</v>
      </c>
      <c r="J54">
        <v>2.3387100366310299E-2</v>
      </c>
      <c r="K54">
        <v>1.6456863704570699E-2</v>
      </c>
      <c r="L54">
        <v>8.3231069157936096E-3</v>
      </c>
      <c r="M54">
        <v>3.89024757456247E-2</v>
      </c>
      <c r="N54">
        <v>3.89024757456247E-2</v>
      </c>
      <c r="O54">
        <v>3.89024757456247E-2</v>
      </c>
      <c r="P54">
        <v>9.0171565828046502E-2</v>
      </c>
      <c r="Q54">
        <v>6.7801792558391999E-2</v>
      </c>
      <c r="R54">
        <v>5.3580412159135199E-2</v>
      </c>
      <c r="S54">
        <f t="shared" si="4"/>
        <v>6.5382587325514399E-2</v>
      </c>
      <c r="T54">
        <f t="shared" si="5"/>
        <v>6.5382587325514399E-2</v>
      </c>
      <c r="U54">
        <f t="shared" si="6"/>
        <v>6.5382587325514399E-2</v>
      </c>
      <c r="V54">
        <f t="shared" si="7"/>
        <v>0.20594729711145993</v>
      </c>
      <c r="W54">
        <f t="shared" si="8"/>
        <v>0.19531362633188099</v>
      </c>
      <c r="X54">
        <f t="shared" si="9"/>
        <v>0.13445288798071744</v>
      </c>
    </row>
    <row r="55" spans="2:27" x14ac:dyDescent="0.2">
      <c r="C55">
        <v>2</v>
      </c>
      <c r="D55">
        <v>4.5</v>
      </c>
      <c r="E55">
        <v>154</v>
      </c>
      <c r="F55">
        <v>187</v>
      </c>
      <c r="G55">
        <v>0.13707302533291299</v>
      </c>
      <c r="H55">
        <v>0.143238403690886</v>
      </c>
      <c r="I55">
        <v>5.9066521513461097E-2</v>
      </c>
      <c r="J55">
        <v>0.104749412128123</v>
      </c>
      <c r="K55">
        <v>9.9488910152048096E-2</v>
      </c>
      <c r="L55">
        <v>0.18339863058377201</v>
      </c>
      <c r="M55">
        <v>0.32578372666431799</v>
      </c>
      <c r="N55">
        <v>0.32857481884631201</v>
      </c>
      <c r="O55">
        <v>0.319945983903203</v>
      </c>
      <c r="P55">
        <v>0.302336164412289</v>
      </c>
      <c r="Q55">
        <v>0.37795638669185699</v>
      </c>
      <c r="R55">
        <v>0.42343032400125802</v>
      </c>
      <c r="S55">
        <f t="shared" si="4"/>
        <v>0.29614567518231433</v>
      </c>
      <c r="T55">
        <f t="shared" si="5"/>
        <v>0.30359132989239823</v>
      </c>
      <c r="U55">
        <f t="shared" si="6"/>
        <v>0.15584319954964765</v>
      </c>
      <c r="V55">
        <f t="shared" si="7"/>
        <v>0.25731545936441297</v>
      </c>
      <c r="W55">
        <f t="shared" si="8"/>
        <v>0.20837761060734625</v>
      </c>
      <c r="X55">
        <f t="shared" si="9"/>
        <v>0.30222458766685933</v>
      </c>
      <c r="Y55">
        <f>CORREL($S$46:$X$46,S55:X55)</f>
        <v>-4.4582688119726828E-2</v>
      </c>
      <c r="Z55">
        <f>CORREL($S$46:$X$46,G55:L55)</f>
        <v>0.27472455075031044</v>
      </c>
      <c r="AA55">
        <f>CORREL($S$46:$X$46,M55:R55)</f>
        <v>0.80371802994533381</v>
      </c>
    </row>
    <row r="56" spans="2:27" hidden="1" x14ac:dyDescent="0.2">
      <c r="B56">
        <v>4</v>
      </c>
      <c r="C56">
        <v>2</v>
      </c>
      <c r="D56">
        <v>5</v>
      </c>
      <c r="E56">
        <v>188</v>
      </c>
      <c r="F56">
        <v>191</v>
      </c>
      <c r="G56">
        <v>0.16564030612244901</v>
      </c>
      <c r="H56">
        <v>0.16564030612244901</v>
      </c>
      <c r="I56">
        <v>8.4566326530612305E-3</v>
      </c>
      <c r="J56">
        <v>2.6326530612244901E-2</v>
      </c>
      <c r="K56">
        <v>8.4566326530612305E-3</v>
      </c>
      <c r="L56">
        <v>2.6326530612244901E-2</v>
      </c>
      <c r="M56">
        <v>3.5999999999999997E-2</v>
      </c>
      <c r="N56">
        <v>3.5999999999999997E-2</v>
      </c>
      <c r="O56">
        <v>0.23</v>
      </c>
      <c r="P56">
        <v>0.24285714285714299</v>
      </c>
      <c r="Q56">
        <v>0.23</v>
      </c>
      <c r="R56">
        <v>0.24285714285714299</v>
      </c>
      <c r="S56">
        <f t="shared" si="4"/>
        <v>0.82146426628543956</v>
      </c>
      <c r="T56">
        <f t="shared" si="5"/>
        <v>0.82146426628543956</v>
      </c>
      <c r="U56">
        <f t="shared" si="6"/>
        <v>3.5464027814923797E-2</v>
      </c>
      <c r="V56">
        <f t="shared" si="7"/>
        <v>9.7801364670204671E-2</v>
      </c>
      <c r="W56">
        <f t="shared" si="8"/>
        <v>3.5464027814923797E-2</v>
      </c>
      <c r="X56">
        <f t="shared" si="9"/>
        <v>9.7801364670204671E-2</v>
      </c>
    </row>
    <row r="57" spans="2:27" x14ac:dyDescent="0.2">
      <c r="C57">
        <v>2</v>
      </c>
      <c r="D57">
        <v>5.5</v>
      </c>
      <c r="E57">
        <v>192</v>
      </c>
      <c r="F57">
        <v>276</v>
      </c>
      <c r="G57">
        <v>0.14514390282560899</v>
      </c>
      <c r="H57">
        <v>0.14339818994172901</v>
      </c>
      <c r="I57">
        <v>0.100252650575695</v>
      </c>
      <c r="J57">
        <v>9.4211414532243798E-2</v>
      </c>
      <c r="K57">
        <v>0.12034607426968701</v>
      </c>
      <c r="L57">
        <v>0.16738739035629399</v>
      </c>
      <c r="M57">
        <v>0.26881272175994297</v>
      </c>
      <c r="N57">
        <v>0.25437809148766899</v>
      </c>
      <c r="O57">
        <v>0.308027429800458</v>
      </c>
      <c r="P57">
        <v>0.25977454688511098</v>
      </c>
      <c r="Q57">
        <v>0.28930493994693701</v>
      </c>
      <c r="R57">
        <v>0.30633716102980801</v>
      </c>
      <c r="S57">
        <f t="shared" si="4"/>
        <v>0.35062587286995395</v>
      </c>
      <c r="T57">
        <f t="shared" si="5"/>
        <v>0.3604995989867259</v>
      </c>
      <c r="U57">
        <f t="shared" si="6"/>
        <v>0.24554871862308619</v>
      </c>
      <c r="V57">
        <f t="shared" si="7"/>
        <v>0.26614449385230599</v>
      </c>
      <c r="W57">
        <f t="shared" si="8"/>
        <v>0.29377706900060996</v>
      </c>
      <c r="X57">
        <f t="shared" si="9"/>
        <v>0.35334328750013938</v>
      </c>
      <c r="Y57">
        <f>CORREL($S$46:$X$46,S57:X57)</f>
        <v>4.0513065094532265E-2</v>
      </c>
      <c r="Z57">
        <f>CORREL($S$46:$X$46,G57:L57)</f>
        <v>0.31199462846450082</v>
      </c>
      <c r="AA57">
        <f>CORREL($S$46:$X$46,M57:R57)</f>
        <v>0.63402919535537439</v>
      </c>
    </row>
    <row r="58" spans="2:27" hidden="1" x14ac:dyDescent="0.2">
      <c r="B58">
        <v>5</v>
      </c>
      <c r="C58">
        <v>2</v>
      </c>
      <c r="D58">
        <v>6</v>
      </c>
      <c r="E58">
        <v>277</v>
      </c>
      <c r="F58">
        <v>283</v>
      </c>
      <c r="G58">
        <v>0</v>
      </c>
      <c r="H58">
        <v>0</v>
      </c>
      <c r="I58">
        <v>0</v>
      </c>
      <c r="J58">
        <v>0</v>
      </c>
      <c r="K58">
        <v>7.75193798449613E-3</v>
      </c>
      <c r="L58">
        <v>0</v>
      </c>
      <c r="M58">
        <v>3.0212573589105701E-2</v>
      </c>
      <c r="N58">
        <v>3.0212573589105701E-2</v>
      </c>
      <c r="O58">
        <v>3.0212573589105701E-2</v>
      </c>
      <c r="P58">
        <v>3.0212573589105701E-2</v>
      </c>
      <c r="Q58">
        <v>7.2762584844364195E-2</v>
      </c>
      <c r="R58">
        <v>3.0212573589105701E-2</v>
      </c>
      <c r="S58">
        <f t="shared" si="4"/>
        <v>0</v>
      </c>
      <c r="T58">
        <f t="shared" si="5"/>
        <v>0</v>
      </c>
      <c r="U58">
        <f t="shared" si="6"/>
        <v>0</v>
      </c>
      <c r="V58">
        <f t="shared" si="7"/>
        <v>0</v>
      </c>
      <c r="W58">
        <f t="shared" si="8"/>
        <v>9.6279996603512857E-2</v>
      </c>
      <c r="X58">
        <f t="shared" si="9"/>
        <v>0</v>
      </c>
    </row>
    <row r="59" spans="2:27" x14ac:dyDescent="0.2">
      <c r="C59">
        <v>2</v>
      </c>
      <c r="D59">
        <v>6.5</v>
      </c>
      <c r="E59">
        <v>284</v>
      </c>
      <c r="F59">
        <v>303</v>
      </c>
      <c r="G59">
        <v>2.7564291685158001E-2</v>
      </c>
      <c r="H59">
        <v>3.0044447417962899E-2</v>
      </c>
      <c r="I59">
        <v>5.4760442319753001E-2</v>
      </c>
      <c r="J59">
        <v>8.0617739324168103E-2</v>
      </c>
      <c r="K59">
        <v>4.3901568913057298E-2</v>
      </c>
      <c r="L59">
        <v>6.0843764045716203E-2</v>
      </c>
      <c r="M59">
        <v>0.31123137794271399</v>
      </c>
      <c r="N59">
        <v>0.32656596976896402</v>
      </c>
      <c r="O59">
        <v>0.39823241106099699</v>
      </c>
      <c r="P59">
        <v>0.372232546623461</v>
      </c>
      <c r="Q59">
        <v>0.34740948565725599</v>
      </c>
      <c r="R59">
        <v>0.35843908989173701</v>
      </c>
      <c r="S59">
        <f t="shared" si="4"/>
        <v>8.1359634010181411E-2</v>
      </c>
      <c r="T59">
        <f t="shared" si="5"/>
        <v>8.4250055438549618E-2</v>
      </c>
      <c r="U59">
        <f t="shared" si="6"/>
        <v>0.12088588575088556</v>
      </c>
      <c r="V59">
        <f t="shared" si="7"/>
        <v>0.1780229400881759</v>
      </c>
      <c r="W59">
        <f t="shared" si="8"/>
        <v>0.11219097544091687</v>
      </c>
      <c r="X59">
        <f t="shared" si="9"/>
        <v>0.14511388546976597</v>
      </c>
      <c r="Y59">
        <f>CORREL($S$46:$X$46,S59:X59)</f>
        <v>0.29660923223474261</v>
      </c>
      <c r="Z59">
        <f>CORREL($S$46:$X$46,G59:L59)</f>
        <v>0.23485631428786588</v>
      </c>
      <c r="AA59">
        <f>CORREL($S$46:$X$46,M59:R59)</f>
        <v>8.1191155149300656E-2</v>
      </c>
    </row>
    <row r="60" spans="2:27" hidden="1" x14ac:dyDescent="0.2">
      <c r="B60" t="s">
        <v>208</v>
      </c>
      <c r="C60">
        <v>2</v>
      </c>
      <c r="D60">
        <v>7</v>
      </c>
      <c r="E60">
        <v>304</v>
      </c>
      <c r="F60">
        <v>308</v>
      </c>
      <c r="G60">
        <v>4.5389010989010999E-2</v>
      </c>
      <c r="H60">
        <v>4.5389010989010999E-2</v>
      </c>
      <c r="I60">
        <v>1.02176669484362E-2</v>
      </c>
      <c r="J60">
        <v>1.2381656804733699E-2</v>
      </c>
      <c r="K60">
        <v>4.9816849816849799E-2</v>
      </c>
      <c r="L60">
        <v>1.94146238377008E-2</v>
      </c>
      <c r="M60">
        <v>0.16036923076923101</v>
      </c>
      <c r="N60">
        <v>0.16036923076923101</v>
      </c>
      <c r="O60">
        <v>9.4408284023668701E-2</v>
      </c>
      <c r="P60">
        <v>7.8121301775147894E-2</v>
      </c>
      <c r="Q60">
        <v>0.183190883190883</v>
      </c>
      <c r="R60">
        <v>6.48224852071006E-2</v>
      </c>
      <c r="S60">
        <f t="shared" si="4"/>
        <v>0.22059389019440268</v>
      </c>
      <c r="T60">
        <f t="shared" si="5"/>
        <v>0.22059389019440268</v>
      </c>
      <c r="U60">
        <f t="shared" si="6"/>
        <v>9.7659011492859993E-2</v>
      </c>
      <c r="V60">
        <f t="shared" si="7"/>
        <v>0.13680941484145123</v>
      </c>
      <c r="W60">
        <f t="shared" si="8"/>
        <v>0.21379912663755468</v>
      </c>
      <c r="X60">
        <f t="shared" si="9"/>
        <v>0.23047590376558574</v>
      </c>
    </row>
    <row r="61" spans="2:27" x14ac:dyDescent="0.2">
      <c r="C61">
        <v>2</v>
      </c>
      <c r="D61">
        <v>7.5</v>
      </c>
      <c r="E61">
        <v>309</v>
      </c>
      <c r="F61">
        <v>337</v>
      </c>
      <c r="G61">
        <v>9.8072491923519897E-2</v>
      </c>
      <c r="H61">
        <v>9.8072491923519897E-2</v>
      </c>
      <c r="I61">
        <v>0.15445414788793899</v>
      </c>
      <c r="J61">
        <v>0.111890966590938</v>
      </c>
      <c r="K61">
        <v>0.121879001392554</v>
      </c>
      <c r="L61">
        <v>8.0797790487543902E-2</v>
      </c>
      <c r="M61">
        <v>0.17547105218134401</v>
      </c>
      <c r="N61">
        <v>0.17547105218134401</v>
      </c>
      <c r="O61">
        <v>0.20986090025081999</v>
      </c>
      <c r="P61">
        <v>0.176203418925685</v>
      </c>
      <c r="Q61">
        <v>0.17012190169291</v>
      </c>
      <c r="R61">
        <v>0.17397877371648399</v>
      </c>
      <c r="S61">
        <f t="shared" si="4"/>
        <v>0.35852607029878741</v>
      </c>
      <c r="T61">
        <f t="shared" si="5"/>
        <v>0.35852607029878741</v>
      </c>
      <c r="U61">
        <f t="shared" si="6"/>
        <v>0.42395763962270111</v>
      </c>
      <c r="V61">
        <f t="shared" si="7"/>
        <v>0.38838301687237115</v>
      </c>
      <c r="W61">
        <f t="shared" si="8"/>
        <v>0.41739254949112936</v>
      </c>
      <c r="X61">
        <f t="shared" si="9"/>
        <v>0.31713195732885441</v>
      </c>
      <c r="Y61">
        <f>CORREL($S$46:$X$46,S61:X61)</f>
        <v>-0.16704479785779408</v>
      </c>
      <c r="Z61">
        <f>CORREL($S$46:$X$46,G61:L61)</f>
        <v>-0.22293663677117043</v>
      </c>
      <c r="AA61">
        <f>CORREL($S$46:$X$46,M61:R61)</f>
        <v>-0.31162867760686563</v>
      </c>
    </row>
    <row r="62" spans="2:27" hidden="1" x14ac:dyDescent="0.2">
      <c r="B62">
        <v>6</v>
      </c>
      <c r="C62">
        <v>2</v>
      </c>
      <c r="D62">
        <v>8</v>
      </c>
      <c r="E62">
        <v>338</v>
      </c>
      <c r="F62">
        <v>352</v>
      </c>
      <c r="G62">
        <v>3.4664950664950699E-3</v>
      </c>
      <c r="H62">
        <v>3.4664950664950699E-3</v>
      </c>
      <c r="I62">
        <v>2.6577962577962601E-3</v>
      </c>
      <c r="J62">
        <v>1.8013530013530001E-3</v>
      </c>
      <c r="K62">
        <v>9.6166286297865201E-3</v>
      </c>
      <c r="L62">
        <v>1.2035930255108299E-2</v>
      </c>
      <c r="M62">
        <v>9.5175555302137602E-2</v>
      </c>
      <c r="N62">
        <v>9.5175555302137602E-2</v>
      </c>
      <c r="O62">
        <v>9.9701853752486705E-2</v>
      </c>
      <c r="P62">
        <v>8.4257865460397097E-2</v>
      </c>
      <c r="Q62">
        <v>9.9665663331552704E-2</v>
      </c>
      <c r="R62">
        <v>0.14854124976372199</v>
      </c>
      <c r="S62">
        <f t="shared" si="4"/>
        <v>3.5142163545268168E-2</v>
      </c>
      <c r="T62">
        <f t="shared" si="5"/>
        <v>3.5142163545268168E-2</v>
      </c>
      <c r="U62">
        <f t="shared" si="6"/>
        <v>2.5965273010695719E-2</v>
      </c>
      <c r="V62">
        <f t="shared" si="7"/>
        <v>2.0931551942382904E-2</v>
      </c>
      <c r="W62">
        <f t="shared" si="8"/>
        <v>8.7998050344593737E-2</v>
      </c>
      <c r="X62">
        <f t="shared" si="9"/>
        <v>7.4954176264005204E-2</v>
      </c>
    </row>
    <row r="63" spans="2:27" x14ac:dyDescent="0.2">
      <c r="C63">
        <v>2</v>
      </c>
      <c r="D63">
        <v>8.5</v>
      </c>
      <c r="E63">
        <v>353</v>
      </c>
      <c r="F63">
        <v>386</v>
      </c>
      <c r="G63">
        <v>0.25960669776346001</v>
      </c>
      <c r="H63">
        <v>0.25962821954988802</v>
      </c>
      <c r="I63">
        <v>0.25810275749299699</v>
      </c>
      <c r="J63">
        <v>0.213909821359692</v>
      </c>
      <c r="K63">
        <v>0.35248094901374699</v>
      </c>
      <c r="L63">
        <v>0.238179824948412</v>
      </c>
      <c r="M63">
        <v>0.40133688904453502</v>
      </c>
      <c r="N63">
        <v>0.38060359014849499</v>
      </c>
      <c r="O63">
        <v>0.36923679560008199</v>
      </c>
      <c r="P63">
        <v>0.35402942179887498</v>
      </c>
      <c r="Q63">
        <v>0.50658934966594904</v>
      </c>
      <c r="R63">
        <v>0.42244217300305298</v>
      </c>
      <c r="S63">
        <f t="shared" si="4"/>
        <v>0.39278193017534507</v>
      </c>
      <c r="T63">
        <f t="shared" si="5"/>
        <v>0.40552221182543308</v>
      </c>
      <c r="U63">
        <f t="shared" si="6"/>
        <v>0.41142433347368107</v>
      </c>
      <c r="V63">
        <f t="shared" si="7"/>
        <v>0.37664208616760259</v>
      </c>
      <c r="W63">
        <f t="shared" si="8"/>
        <v>0.41030512817807163</v>
      </c>
      <c r="X63">
        <f t="shared" si="9"/>
        <v>0.36053874331612973</v>
      </c>
      <c r="Y63">
        <f>CORREL($S$46:$X$46,S63:X63)</f>
        <v>-0.43077234580794282</v>
      </c>
      <c r="Z63">
        <f>CORREL($S$46:$X$46,G63:L63)</f>
        <v>0.34979241967282221</v>
      </c>
      <c r="AA63">
        <f>CORREL($S$46:$X$46,M63:R63)</f>
        <v>0.70112850413667471</v>
      </c>
    </row>
    <row r="64" spans="2:27" hidden="1" x14ac:dyDescent="0.2">
      <c r="B64">
        <v>7</v>
      </c>
      <c r="C64">
        <v>2</v>
      </c>
      <c r="D64">
        <v>9</v>
      </c>
      <c r="E64">
        <v>387</v>
      </c>
      <c r="F64">
        <v>392</v>
      </c>
      <c r="G64">
        <v>8.5308915652954707E-3</v>
      </c>
      <c r="H64">
        <v>8.5308915652954707E-3</v>
      </c>
      <c r="I64">
        <v>8.5308915652954707E-3</v>
      </c>
      <c r="J64">
        <v>8.5308915652954707E-3</v>
      </c>
      <c r="K64">
        <v>8.5308915652954707E-3</v>
      </c>
      <c r="L64">
        <v>2.3401497695852501E-2</v>
      </c>
      <c r="M64">
        <v>5.4509943181818198E-2</v>
      </c>
      <c r="N64">
        <v>5.4509943181818198E-2</v>
      </c>
      <c r="O64">
        <v>5.4509943181818198E-2</v>
      </c>
      <c r="P64">
        <v>5.4509943181818198E-2</v>
      </c>
      <c r="Q64">
        <v>5.4509943181818198E-2</v>
      </c>
      <c r="R64">
        <v>0.115194281524927</v>
      </c>
      <c r="S64">
        <f t="shared" si="4"/>
        <v>0.13532326466673347</v>
      </c>
      <c r="T64">
        <f t="shared" si="5"/>
        <v>0.13532326466673347</v>
      </c>
      <c r="U64">
        <f t="shared" si="6"/>
        <v>0.13532326466673347</v>
      </c>
      <c r="V64">
        <f t="shared" si="7"/>
        <v>0.13532326466673347</v>
      </c>
      <c r="W64">
        <f t="shared" si="8"/>
        <v>0.13532326466673347</v>
      </c>
      <c r="X64">
        <f t="shared" si="9"/>
        <v>0.16884711661077728</v>
      </c>
    </row>
    <row r="65" spans="2:27" x14ac:dyDescent="0.2">
      <c r="C65">
        <v>2</v>
      </c>
      <c r="D65">
        <v>9.5</v>
      </c>
      <c r="E65">
        <v>393</v>
      </c>
      <c r="F65">
        <v>404</v>
      </c>
      <c r="G65">
        <v>0.164272509982826</v>
      </c>
      <c r="H65">
        <v>0.164272509982826</v>
      </c>
      <c r="I65">
        <v>5.2292578007169799E-2</v>
      </c>
      <c r="J65">
        <v>0.17642434297888401</v>
      </c>
      <c r="K65">
        <v>0.13797134641282699</v>
      </c>
      <c r="L65">
        <v>0.10309087025279901</v>
      </c>
      <c r="M65">
        <v>0.32976878778792501</v>
      </c>
      <c r="N65">
        <v>0.32976878778792501</v>
      </c>
      <c r="O65">
        <v>0.44151075002048501</v>
      </c>
      <c r="P65">
        <v>0.55342344705196</v>
      </c>
      <c r="Q65">
        <v>0.26817444258310003</v>
      </c>
      <c r="R65">
        <v>0.37721996038732403</v>
      </c>
      <c r="S65">
        <f t="shared" si="4"/>
        <v>0.33250764809352645</v>
      </c>
      <c r="T65">
        <f t="shared" si="5"/>
        <v>0.33250764809352645</v>
      </c>
      <c r="U65">
        <f t="shared" si="6"/>
        <v>0.10589758116057335</v>
      </c>
      <c r="V65">
        <f t="shared" si="7"/>
        <v>0.2417275840095757</v>
      </c>
      <c r="W65">
        <f t="shared" si="8"/>
        <v>0.33970891771134581</v>
      </c>
      <c r="X65">
        <f t="shared" si="9"/>
        <v>0.21463365736601661</v>
      </c>
      <c r="Y65">
        <f>CORREL($S$46:$X$46,S65:X65)</f>
        <v>-1.6788702166606252E-2</v>
      </c>
      <c r="Z65">
        <f>CORREL($S$46:$X$46,G65:L65)</f>
        <v>-0.24307415208429442</v>
      </c>
      <c r="AA65">
        <f>CORREL($S$46:$X$46,M65:R65)</f>
        <v>-0.25964494403796923</v>
      </c>
    </row>
    <row r="66" spans="2:27" hidden="1" x14ac:dyDescent="0.2">
      <c r="B66">
        <v>8</v>
      </c>
      <c r="C66">
        <v>2</v>
      </c>
      <c r="D66">
        <v>10</v>
      </c>
      <c r="E66">
        <v>405</v>
      </c>
      <c r="F66">
        <v>414</v>
      </c>
      <c r="G66">
        <v>4.4890633400016498E-3</v>
      </c>
      <c r="H66">
        <v>4.4890633400016498E-3</v>
      </c>
      <c r="I66">
        <v>4.5576214750084401E-3</v>
      </c>
      <c r="J66">
        <v>1.11227971121455E-2</v>
      </c>
      <c r="K66">
        <v>1.46826880289857E-2</v>
      </c>
      <c r="L66">
        <v>4.5576214750084401E-3</v>
      </c>
      <c r="M66">
        <v>1.52130806888358E-2</v>
      </c>
      <c r="N66">
        <v>1.52130806888358E-2</v>
      </c>
      <c r="O66">
        <v>1.48947477927341E-2</v>
      </c>
      <c r="P66">
        <v>2.21604990237519E-2</v>
      </c>
      <c r="Q66">
        <v>3.1061415590172201E-2</v>
      </c>
      <c r="R66">
        <v>1.48947477927341E-2</v>
      </c>
      <c r="S66">
        <f t="shared" si="4"/>
        <v>0.2278464381049666</v>
      </c>
      <c r="T66">
        <f t="shared" si="5"/>
        <v>0.2278464381049666</v>
      </c>
      <c r="U66">
        <f t="shared" si="6"/>
        <v>0.23429647115358071</v>
      </c>
      <c r="V66">
        <f t="shared" si="7"/>
        <v>0.33418556463670396</v>
      </c>
      <c r="W66">
        <f t="shared" si="8"/>
        <v>0.320974439705416</v>
      </c>
      <c r="X66">
        <f t="shared" si="9"/>
        <v>0.23429647115358071</v>
      </c>
    </row>
    <row r="67" spans="2:27" x14ac:dyDescent="0.2">
      <c r="C67">
        <v>2</v>
      </c>
      <c r="D67">
        <v>10.5</v>
      </c>
      <c r="E67">
        <v>415</v>
      </c>
      <c r="F67">
        <v>505</v>
      </c>
      <c r="G67">
        <v>0.27841493273081802</v>
      </c>
      <c r="H67">
        <v>0.267590366753924</v>
      </c>
      <c r="I67">
        <v>0.23285884604410401</v>
      </c>
      <c r="J67">
        <v>0.37730986154141599</v>
      </c>
      <c r="K67">
        <v>0.24447496744852201</v>
      </c>
      <c r="L67">
        <v>0.18685598761646099</v>
      </c>
      <c r="M67">
        <v>0.43852163460795002</v>
      </c>
      <c r="N67">
        <v>0.44282070544911001</v>
      </c>
      <c r="O67">
        <v>0.47262270278561103</v>
      </c>
      <c r="P67">
        <v>0.471689133234451</v>
      </c>
      <c r="Q67">
        <v>0.38626034699870399</v>
      </c>
      <c r="R67">
        <v>0.34838933918417497</v>
      </c>
      <c r="S67">
        <f t="shared" si="4"/>
        <v>0.38833970174555338</v>
      </c>
      <c r="T67">
        <f t="shared" si="5"/>
        <v>0.37666975815017595</v>
      </c>
      <c r="U67">
        <f t="shared" si="6"/>
        <v>0.33007078134131346</v>
      </c>
      <c r="V67">
        <f t="shared" si="7"/>
        <v>0.44441732424079561</v>
      </c>
      <c r="W67">
        <f t="shared" si="8"/>
        <v>0.38760310680047927</v>
      </c>
      <c r="X67">
        <f t="shared" si="9"/>
        <v>0.34910344520590214</v>
      </c>
      <c r="Y67">
        <f>CORREL($S$46:$X$46,S67:X67)</f>
        <v>-0.14001070260646742</v>
      </c>
      <c r="Z67">
        <f>CORREL($S$46:$X$46,G67:L67)</f>
        <v>-0.46722459513394582</v>
      </c>
      <c r="AA67">
        <f>CORREL($S$46:$X$46,M67:R67)</f>
        <v>-0.80436430906916356</v>
      </c>
    </row>
    <row r="68" spans="2:27" hidden="1" x14ac:dyDescent="0.2">
      <c r="B68">
        <v>9</v>
      </c>
      <c r="C68">
        <v>2</v>
      </c>
      <c r="D68">
        <v>11</v>
      </c>
      <c r="E68">
        <v>506</v>
      </c>
      <c r="F68">
        <v>512</v>
      </c>
      <c r="G68">
        <v>3.5147039195622199E-3</v>
      </c>
      <c r="H68">
        <v>3.5147039195622199E-3</v>
      </c>
      <c r="I68">
        <v>3.2168686014839901E-3</v>
      </c>
      <c r="J68">
        <v>3.5147039195622199E-3</v>
      </c>
      <c r="K68">
        <v>1.9039247917364301E-2</v>
      </c>
      <c r="L68">
        <v>3.5147039195622199E-3</v>
      </c>
      <c r="M68">
        <v>4.28994082840237E-2</v>
      </c>
      <c r="N68">
        <v>4.28994082840237E-2</v>
      </c>
      <c r="O68">
        <v>3.9760026298487801E-2</v>
      </c>
      <c r="P68">
        <v>4.28994082840237E-2</v>
      </c>
      <c r="Q68">
        <v>3.2527834008097202E-2</v>
      </c>
      <c r="R68">
        <v>4.28994082840237E-2</v>
      </c>
      <c r="S68">
        <f t="shared" si="4"/>
        <v>7.5724898154804654E-2</v>
      </c>
      <c r="T68">
        <f t="shared" si="5"/>
        <v>7.5724898154804654E-2</v>
      </c>
      <c r="U68">
        <f t="shared" si="6"/>
        <v>7.4851117303174494E-2</v>
      </c>
      <c r="V68">
        <f t="shared" si="7"/>
        <v>7.5724898154804654E-2</v>
      </c>
      <c r="W68">
        <f t="shared" si="8"/>
        <v>0.36921321134449492</v>
      </c>
      <c r="X68">
        <f t="shared" si="9"/>
        <v>7.5724898154804654E-2</v>
      </c>
    </row>
    <row r="69" spans="2:27" x14ac:dyDescent="0.2">
      <c r="C69">
        <v>2</v>
      </c>
      <c r="D69">
        <v>11.5</v>
      </c>
      <c r="E69">
        <v>513</v>
      </c>
      <c r="F69">
        <v>526</v>
      </c>
      <c r="G69">
        <v>5.4612638237144698E-2</v>
      </c>
      <c r="H69">
        <v>5.4612638237144698E-2</v>
      </c>
      <c r="I69">
        <v>4.3021111935644903E-2</v>
      </c>
      <c r="J69">
        <v>6.6603051656158499E-2</v>
      </c>
      <c r="K69">
        <v>0.12670445227211699</v>
      </c>
      <c r="L69">
        <v>7.2216590422435695E-2</v>
      </c>
      <c r="M69">
        <v>0.251410897461112</v>
      </c>
      <c r="N69">
        <v>0.251410897461112</v>
      </c>
      <c r="O69">
        <v>0.24850807635559599</v>
      </c>
      <c r="P69">
        <v>0.255917535744692</v>
      </c>
      <c r="Q69">
        <v>0.45626411054979898</v>
      </c>
      <c r="R69">
        <v>0.26154585064969599</v>
      </c>
      <c r="S69">
        <f t="shared" si="4"/>
        <v>0.1784589479777578</v>
      </c>
      <c r="T69">
        <f t="shared" si="5"/>
        <v>0.1784589479777578</v>
      </c>
      <c r="U69">
        <f t="shared" si="6"/>
        <v>0.14757051322307504</v>
      </c>
      <c r="V69">
        <f t="shared" si="7"/>
        <v>0.20650790758166301</v>
      </c>
      <c r="W69">
        <f t="shared" si="8"/>
        <v>0.21734354192066854</v>
      </c>
      <c r="X69">
        <f t="shared" si="9"/>
        <v>0.21637123155756302</v>
      </c>
      <c r="Y69">
        <f>CORREL($S$46:$X$46,S69:X69)</f>
        <v>0.65830067974148798</v>
      </c>
      <c r="Z69">
        <f>CORREL($S$46:$X$46,G69:L69)</f>
        <v>0.63759846444777313</v>
      </c>
      <c r="AA69">
        <f>CORREL($S$46:$X$46,M69:R69)</f>
        <v>0.52259891083256882</v>
      </c>
    </row>
    <row r="70" spans="2:27" hidden="1" x14ac:dyDescent="0.2">
      <c r="B70">
        <v>10</v>
      </c>
      <c r="C70">
        <v>2</v>
      </c>
      <c r="D70">
        <v>12</v>
      </c>
      <c r="E70">
        <v>527</v>
      </c>
      <c r="F70">
        <v>532</v>
      </c>
      <c r="G70">
        <v>7.2334522393975406E-2</v>
      </c>
      <c r="H70">
        <v>7.2334522393975406E-2</v>
      </c>
      <c r="I70">
        <v>1.47500141554838E-2</v>
      </c>
      <c r="J70">
        <v>1.47500141554838E-2</v>
      </c>
      <c r="K70">
        <v>1.47500141554838E-2</v>
      </c>
      <c r="L70">
        <v>1.47500141554838E-2</v>
      </c>
      <c r="M70">
        <v>9.9043089292792E-2</v>
      </c>
      <c r="N70">
        <v>9.9043089292792E-2</v>
      </c>
      <c r="O70">
        <v>7.5410509031198697E-2</v>
      </c>
      <c r="P70">
        <v>7.5410509031198697E-2</v>
      </c>
      <c r="Q70">
        <v>7.5410509031198697E-2</v>
      </c>
      <c r="R70">
        <v>7.5410509031198697E-2</v>
      </c>
      <c r="S70">
        <f t="shared" si="4"/>
        <v>0.42207684937390555</v>
      </c>
      <c r="T70">
        <f t="shared" si="5"/>
        <v>0.42207684937390555</v>
      </c>
      <c r="U70">
        <f t="shared" si="6"/>
        <v>0.16359725558538582</v>
      </c>
      <c r="V70">
        <f t="shared" si="7"/>
        <v>0.16359725558538582</v>
      </c>
      <c r="W70">
        <f t="shared" si="8"/>
        <v>0.16359725558538582</v>
      </c>
      <c r="X70">
        <f t="shared" si="9"/>
        <v>0.16359725558538582</v>
      </c>
    </row>
    <row r="71" spans="2:27" x14ac:dyDescent="0.2">
      <c r="C71">
        <v>3</v>
      </c>
      <c r="D71">
        <v>12.5</v>
      </c>
      <c r="E71">
        <v>533</v>
      </c>
      <c r="F71">
        <v>566</v>
      </c>
      <c r="G71">
        <v>0.30983236658383501</v>
      </c>
      <c r="H71">
        <v>0.33381655895416501</v>
      </c>
      <c r="I71">
        <v>0.27365834730046301</v>
      </c>
      <c r="J71">
        <v>0.445849054346662</v>
      </c>
      <c r="K71">
        <v>0.28468730268367898</v>
      </c>
      <c r="L71">
        <v>0.28927645412685699</v>
      </c>
      <c r="M71">
        <v>0.529092460947305</v>
      </c>
      <c r="N71">
        <v>0.51575783937126196</v>
      </c>
      <c r="O71">
        <v>0.57200739120542698</v>
      </c>
      <c r="P71">
        <v>0.62506909737230099</v>
      </c>
      <c r="Q71">
        <v>0.47966748545132998</v>
      </c>
      <c r="R71">
        <v>0.43487473560963302</v>
      </c>
      <c r="S71">
        <f t="shared" si="4"/>
        <v>0.36932077394304358</v>
      </c>
      <c r="T71">
        <f t="shared" si="5"/>
        <v>0.39292210265768579</v>
      </c>
      <c r="U71">
        <f t="shared" si="6"/>
        <v>0.32360108118363484</v>
      </c>
      <c r="V71">
        <f t="shared" si="7"/>
        <v>0.41632411742299469</v>
      </c>
      <c r="W71">
        <f t="shared" si="8"/>
        <v>0.37245439827531279</v>
      </c>
      <c r="X71">
        <f t="shared" si="9"/>
        <v>0.39946969393521431</v>
      </c>
      <c r="Y71">
        <f>CORREL($S$46:$X$46,S71:X71)</f>
        <v>6.7680358602552518E-2</v>
      </c>
      <c r="Z71">
        <f>CORREL($S$46:$X$46,G71:L71)</f>
        <v>-0.36972536420829105</v>
      </c>
      <c r="AA71">
        <f>CORREL($S$46:$X$46,M71:R71)</f>
        <v>-0.60494117608689435</v>
      </c>
    </row>
    <row r="97" spans="2:24" x14ac:dyDescent="0.2">
      <c r="G97">
        <v>5</v>
      </c>
      <c r="H97">
        <v>11</v>
      </c>
      <c r="I97">
        <v>42</v>
      </c>
      <c r="J97">
        <v>45</v>
      </c>
      <c r="K97">
        <v>48</v>
      </c>
      <c r="L97">
        <v>53</v>
      </c>
    </row>
    <row r="98" spans="2:24" hidden="1" x14ac:dyDescent="0.2">
      <c r="B98" t="s">
        <v>209</v>
      </c>
      <c r="C98">
        <v>2</v>
      </c>
      <c r="D98">
        <v>1</v>
      </c>
      <c r="E98">
        <v>1</v>
      </c>
      <c r="F98">
        <v>5</v>
      </c>
      <c r="G98">
        <v>0.129616000930287</v>
      </c>
      <c r="H98">
        <v>0.16291761148903999</v>
      </c>
      <c r="I98">
        <v>0.14767516134659001</v>
      </c>
      <c r="J98">
        <v>0.53808919255347798</v>
      </c>
      <c r="K98">
        <v>0.16291761148903999</v>
      </c>
      <c r="L98">
        <v>0.24792547376093299</v>
      </c>
      <c r="M98">
        <v>0.270272727272727</v>
      </c>
      <c r="N98">
        <v>0.56065015231681903</v>
      </c>
      <c r="O98">
        <v>0.41955844155844202</v>
      </c>
      <c r="P98">
        <v>0.37611914600551</v>
      </c>
      <c r="Q98">
        <v>0.56065015231681903</v>
      </c>
      <c r="R98">
        <v>0.55139726345083495</v>
      </c>
      <c r="S98">
        <f t="shared" ref="S98" si="10">G98/(G98+M98)</f>
        <v>0.32413016869153666</v>
      </c>
      <c r="T98">
        <f t="shared" ref="T98" si="11">H98/(H98+N98)</f>
        <v>0.22515874758172963</v>
      </c>
      <c r="U98">
        <f t="shared" ref="U98" si="12">I98/(I98+O98)</f>
        <v>0.26034275929755563</v>
      </c>
      <c r="V98">
        <f t="shared" ref="V98" si="13">J98/(J98+P98)</f>
        <v>0.58858486611666205</v>
      </c>
      <c r="W98">
        <f t="shared" ref="W98" si="14">K98/(K98+Q98)</f>
        <v>0.22515874758172963</v>
      </c>
      <c r="X98">
        <f t="shared" ref="X98" si="15">L98/(L98+R98)</f>
        <v>0.31016942496313482</v>
      </c>
    </row>
    <row r="99" spans="2:24" x14ac:dyDescent="0.2">
      <c r="C99">
        <v>2</v>
      </c>
      <c r="D99">
        <v>1.5</v>
      </c>
      <c r="E99">
        <v>6</v>
      </c>
      <c r="F99">
        <v>12</v>
      </c>
      <c r="G99">
        <v>0.238284147174911</v>
      </c>
      <c r="H99">
        <v>0.17991101323391601</v>
      </c>
      <c r="I99">
        <v>0.24266641681840401</v>
      </c>
      <c r="J99">
        <v>0.25406072330833301</v>
      </c>
      <c r="K99">
        <v>0.19748534759834999</v>
      </c>
      <c r="L99">
        <v>0.15329457013848599</v>
      </c>
      <c r="M99">
        <v>0.40457010882877797</v>
      </c>
      <c r="N99">
        <v>0.33261451516954199</v>
      </c>
      <c r="O99">
        <v>0.39030282844845299</v>
      </c>
      <c r="P99">
        <v>0.34257318781170998</v>
      </c>
      <c r="Q99">
        <v>0.36142431392545099</v>
      </c>
      <c r="R99">
        <v>0.33065970885677298</v>
      </c>
      <c r="S99">
        <f t="shared" ref="S99:S121" si="16">G99/(G99+M99)</f>
        <v>0.37066589347359574</v>
      </c>
      <c r="T99">
        <f t="shared" ref="T99:T121" si="17">H99/(H99+N99)</f>
        <v>0.35102839422330351</v>
      </c>
      <c r="U99">
        <f t="shared" ref="U99:U121" si="18">I99/(I99+O99)</f>
        <v>0.38337789494985169</v>
      </c>
      <c r="V99">
        <f t="shared" ref="V99:V121" si="19">J99/(J99+P99)</f>
        <v>0.42582347160152606</v>
      </c>
      <c r="W99">
        <f t="shared" ref="W99:W121" si="20">K99/(K99+Q99)</f>
        <v>0.35334037178732891</v>
      </c>
      <c r="X99">
        <f t="shared" ref="X99:X121" si="21">L99/(L99+R99)</f>
        <v>0.31675424062112223</v>
      </c>
    </row>
    <row r="100" spans="2:24" hidden="1" x14ac:dyDescent="0.2">
      <c r="B100">
        <v>1</v>
      </c>
      <c r="C100">
        <v>2</v>
      </c>
      <c r="D100">
        <v>2</v>
      </c>
      <c r="E100">
        <v>13</v>
      </c>
      <c r="F100">
        <v>18</v>
      </c>
      <c r="G100">
        <v>8.9364365433321394E-2</v>
      </c>
      <c r="H100">
        <v>0.21988117805646901</v>
      </c>
      <c r="I100">
        <v>8.9364365433321394E-2</v>
      </c>
      <c r="J100">
        <v>0.21917160942814401</v>
      </c>
      <c r="K100">
        <v>0.16232693732300299</v>
      </c>
      <c r="L100">
        <v>0.15585519598401901</v>
      </c>
      <c r="M100">
        <v>0.18400716705430301</v>
      </c>
      <c r="N100">
        <v>0.13007266689667099</v>
      </c>
      <c r="O100">
        <v>0.18400716705430301</v>
      </c>
      <c r="P100">
        <v>6.3876669925057E-2</v>
      </c>
      <c r="Q100">
        <v>6.5979922715053804E-2</v>
      </c>
      <c r="R100">
        <v>0.13657931958885</v>
      </c>
      <c r="S100">
        <f t="shared" si="16"/>
        <v>0.32689711551208039</v>
      </c>
      <c r="T100">
        <f t="shared" si="17"/>
        <v>0.62831479415781777</v>
      </c>
      <c r="U100">
        <f t="shared" si="18"/>
        <v>0.32689711551208039</v>
      </c>
      <c r="V100">
        <f t="shared" si="19"/>
        <v>0.77432588507154054</v>
      </c>
      <c r="W100">
        <f t="shared" si="20"/>
        <v>0.71100332813453127</v>
      </c>
      <c r="X100">
        <f t="shared" si="21"/>
        <v>0.53295759455310565</v>
      </c>
    </row>
    <row r="101" spans="2:24" x14ac:dyDescent="0.2">
      <c r="C101">
        <v>2</v>
      </c>
      <c r="D101">
        <v>2.5</v>
      </c>
      <c r="E101">
        <v>19</v>
      </c>
      <c r="F101">
        <v>55</v>
      </c>
      <c r="G101">
        <v>0.20150799339313999</v>
      </c>
      <c r="H101">
        <v>0.14377575562484399</v>
      </c>
      <c r="I101">
        <v>0.18940366574571599</v>
      </c>
      <c r="J101">
        <v>0.216234975130358</v>
      </c>
      <c r="K101">
        <v>0.141255840457786</v>
      </c>
      <c r="L101">
        <v>0.156355007806666</v>
      </c>
      <c r="M101">
        <v>0.29802855082609597</v>
      </c>
      <c r="N101">
        <v>0.24461173785457699</v>
      </c>
      <c r="O101">
        <v>0.28882577430850398</v>
      </c>
      <c r="P101">
        <v>0.177800791630146</v>
      </c>
      <c r="Q101">
        <v>0.24978497562909099</v>
      </c>
      <c r="R101">
        <v>0.26965925714374001</v>
      </c>
      <c r="S101">
        <f t="shared" si="16"/>
        <v>0.40338989354240801</v>
      </c>
      <c r="T101">
        <f t="shared" si="17"/>
        <v>0.3701863680954548</v>
      </c>
      <c r="U101">
        <f t="shared" si="18"/>
        <v>0.39605187360326888</v>
      </c>
      <c r="V101">
        <f t="shared" si="19"/>
        <v>0.54876991727958091</v>
      </c>
      <c r="W101">
        <f t="shared" si="20"/>
        <v>0.36123042569142799</v>
      </c>
      <c r="X101">
        <f t="shared" si="21"/>
        <v>0.3670182448582277</v>
      </c>
    </row>
    <row r="102" spans="2:24" hidden="1" x14ac:dyDescent="0.2">
      <c r="B102">
        <v>2</v>
      </c>
      <c r="C102">
        <v>2</v>
      </c>
      <c r="D102">
        <v>3</v>
      </c>
      <c r="E102">
        <v>56</v>
      </c>
      <c r="F102">
        <v>69</v>
      </c>
      <c r="G102">
        <v>5.1158337384646299E-3</v>
      </c>
      <c r="H102">
        <v>1.17384416468089E-2</v>
      </c>
      <c r="I102">
        <v>5.1158337384646299E-3</v>
      </c>
      <c r="J102">
        <v>5.2934079858640903E-2</v>
      </c>
      <c r="K102">
        <v>1.17384416468089E-2</v>
      </c>
      <c r="L102">
        <v>2.1335850919412602E-2</v>
      </c>
      <c r="M102">
        <v>6.4783333138255295E-2</v>
      </c>
      <c r="N102">
        <v>8.1365600116806006E-2</v>
      </c>
      <c r="O102">
        <v>6.4783333138255295E-2</v>
      </c>
      <c r="P102">
        <v>0.105846035114798</v>
      </c>
      <c r="Q102">
        <v>8.1365600116806006E-2</v>
      </c>
      <c r="R102">
        <v>8.0537820530488899E-2</v>
      </c>
      <c r="S102">
        <f t="shared" si="16"/>
        <v>7.3188765575523188E-2</v>
      </c>
      <c r="T102">
        <f t="shared" si="17"/>
        <v>0.1260787547399074</v>
      </c>
      <c r="U102">
        <f t="shared" si="18"/>
        <v>7.3188765575523188E-2</v>
      </c>
      <c r="V102">
        <f t="shared" si="19"/>
        <v>0.3333797803805334</v>
      </c>
      <c r="W102">
        <f t="shared" si="20"/>
        <v>0.1260787547399074</v>
      </c>
      <c r="X102">
        <f t="shared" si="21"/>
        <v>0.20943439669694194</v>
      </c>
    </row>
    <row r="103" spans="2:24" x14ac:dyDescent="0.2">
      <c r="C103">
        <v>2</v>
      </c>
      <c r="D103">
        <v>3.5</v>
      </c>
      <c r="E103">
        <v>70</v>
      </c>
      <c r="F103">
        <v>137</v>
      </c>
      <c r="G103">
        <v>0.39700557678585602</v>
      </c>
      <c r="H103">
        <v>0.30695577858017897</v>
      </c>
      <c r="I103">
        <v>0.375164123518265</v>
      </c>
      <c r="J103">
        <v>0.434119423517284</v>
      </c>
      <c r="K103">
        <v>0.32060703466206902</v>
      </c>
      <c r="L103">
        <v>0.37596213744648899</v>
      </c>
      <c r="M103">
        <v>0.58346243839527101</v>
      </c>
      <c r="N103">
        <v>0.47529883057802003</v>
      </c>
      <c r="O103">
        <v>0.59176505267740498</v>
      </c>
      <c r="P103">
        <v>0.27042799897981701</v>
      </c>
      <c r="Q103">
        <v>0.48989204665717601</v>
      </c>
      <c r="R103">
        <v>0.60911746351711105</v>
      </c>
      <c r="S103">
        <f t="shared" si="16"/>
        <v>0.40491435787685037</v>
      </c>
      <c r="T103">
        <f t="shared" si="17"/>
        <v>0.39239881106037927</v>
      </c>
      <c r="U103">
        <f t="shared" si="18"/>
        <v>0.38799545277382957</v>
      </c>
      <c r="V103">
        <f t="shared" si="19"/>
        <v>0.61616778325389487</v>
      </c>
      <c r="W103">
        <f t="shared" si="20"/>
        <v>0.39556742512307191</v>
      </c>
      <c r="X103">
        <f t="shared" si="21"/>
        <v>0.38165660630747472</v>
      </c>
    </row>
    <row r="104" spans="2:24" hidden="1" x14ac:dyDescent="0.2">
      <c r="B104">
        <v>3</v>
      </c>
      <c r="C104">
        <v>2</v>
      </c>
      <c r="D104">
        <v>4</v>
      </c>
      <c r="E104">
        <v>138</v>
      </c>
      <c r="F104">
        <v>153</v>
      </c>
      <c r="G104">
        <v>7.9507905825482606E-3</v>
      </c>
      <c r="H104">
        <v>6.7405629848539704E-3</v>
      </c>
      <c r="I104">
        <v>2.7214820557841398E-3</v>
      </c>
      <c r="J104">
        <v>8.9491188956497599E-3</v>
      </c>
      <c r="K104">
        <v>6.7405629848539704E-3</v>
      </c>
      <c r="L104">
        <v>1.87888632576588E-2</v>
      </c>
      <c r="M104">
        <v>5.4427284567357098E-2</v>
      </c>
      <c r="N104">
        <v>4.9562650098045703E-2</v>
      </c>
      <c r="O104">
        <v>3.89024757456247E-2</v>
      </c>
      <c r="P104">
        <v>4.29933345972692E-2</v>
      </c>
      <c r="Q104">
        <v>4.9562650098045703E-2</v>
      </c>
      <c r="R104">
        <v>6.6103730142992506E-2</v>
      </c>
      <c r="S104">
        <f t="shared" si="16"/>
        <v>0.1274613005201127</v>
      </c>
      <c r="T104">
        <f t="shared" si="17"/>
        <v>0.11971897545046509</v>
      </c>
      <c r="U104">
        <f t="shared" si="18"/>
        <v>6.5382587325514399E-2</v>
      </c>
      <c r="V104">
        <f t="shared" si="19"/>
        <v>0.17228910638327366</v>
      </c>
      <c r="W104">
        <f t="shared" si="20"/>
        <v>0.11971897545046509</v>
      </c>
      <c r="X104">
        <f t="shared" si="21"/>
        <v>0.22132511806989572</v>
      </c>
    </row>
    <row r="105" spans="2:24" x14ac:dyDescent="0.2">
      <c r="C105">
        <v>2</v>
      </c>
      <c r="D105">
        <v>4.5</v>
      </c>
      <c r="E105">
        <v>154</v>
      </c>
      <c r="F105">
        <v>187</v>
      </c>
      <c r="G105">
        <v>0.133230548874715</v>
      </c>
      <c r="H105">
        <v>0.26221459755138699</v>
      </c>
      <c r="I105">
        <v>0.122338429508572</v>
      </c>
      <c r="J105">
        <v>0.28281892565001499</v>
      </c>
      <c r="K105">
        <v>0.25519519540426699</v>
      </c>
      <c r="L105">
        <v>0.18299680175775301</v>
      </c>
      <c r="M105">
        <v>0.37499352277909098</v>
      </c>
      <c r="N105">
        <v>0.46123458316589899</v>
      </c>
      <c r="O105">
        <v>0.382145151929694</v>
      </c>
      <c r="P105">
        <v>0.212524712364285</v>
      </c>
      <c r="Q105">
        <v>0.46503191140615102</v>
      </c>
      <c r="R105">
        <v>0.41044679302597897</v>
      </c>
      <c r="S105">
        <f t="shared" si="16"/>
        <v>0.26214922965213167</v>
      </c>
      <c r="T105">
        <f t="shared" si="17"/>
        <v>0.36245061096261971</v>
      </c>
      <c r="U105">
        <f t="shared" si="18"/>
        <v>0.24250230138271139</v>
      </c>
      <c r="V105">
        <f t="shared" si="19"/>
        <v>0.57095499759270218</v>
      </c>
      <c r="W105">
        <f t="shared" si="20"/>
        <v>0.35432600771500927</v>
      </c>
      <c r="X105">
        <f t="shared" si="21"/>
        <v>0.3083642714594339</v>
      </c>
    </row>
    <row r="106" spans="2:24" hidden="1" x14ac:dyDescent="0.2">
      <c r="B106">
        <v>4</v>
      </c>
      <c r="C106">
        <v>2</v>
      </c>
      <c r="D106">
        <v>5</v>
      </c>
      <c r="E106">
        <v>188</v>
      </c>
      <c r="F106">
        <v>191</v>
      </c>
      <c r="G106">
        <v>8.4566326530612305E-3</v>
      </c>
      <c r="H106">
        <v>7.1913265306122395E-2</v>
      </c>
      <c r="I106">
        <v>8.4566326530612305E-3</v>
      </c>
      <c r="J106">
        <v>0.16564030612244901</v>
      </c>
      <c r="K106">
        <v>7.1913265306122395E-2</v>
      </c>
      <c r="L106">
        <v>2.6326530612244901E-2</v>
      </c>
      <c r="M106">
        <v>0.23</v>
      </c>
      <c r="N106">
        <v>0.30159090909090902</v>
      </c>
      <c r="O106">
        <v>0.23</v>
      </c>
      <c r="P106">
        <v>3.5999999999999997E-2</v>
      </c>
      <c r="Q106">
        <v>0.30159090909090902</v>
      </c>
      <c r="R106">
        <v>0.24285714285714299</v>
      </c>
      <c r="S106">
        <f t="shared" si="16"/>
        <v>3.5464027814923797E-2</v>
      </c>
      <c r="T106">
        <f t="shared" si="17"/>
        <v>0.19253671106143855</v>
      </c>
      <c r="U106">
        <f t="shared" si="18"/>
        <v>3.5464027814923797E-2</v>
      </c>
      <c r="V106">
        <f t="shared" si="19"/>
        <v>0.82146426628543956</v>
      </c>
      <c r="W106">
        <f t="shared" si="20"/>
        <v>0.19253671106143855</v>
      </c>
      <c r="X106">
        <f t="shared" si="21"/>
        <v>9.7801364670204671E-2</v>
      </c>
    </row>
    <row r="107" spans="2:24" x14ac:dyDescent="0.2">
      <c r="C107">
        <v>2</v>
      </c>
      <c r="D107">
        <v>5.5</v>
      </c>
      <c r="E107">
        <v>192</v>
      </c>
      <c r="F107">
        <v>276</v>
      </c>
      <c r="G107">
        <v>0.18943988522345101</v>
      </c>
      <c r="H107">
        <v>0.170150109218354</v>
      </c>
      <c r="I107">
        <v>0.20976534403243599</v>
      </c>
      <c r="J107">
        <v>0.24999299691165899</v>
      </c>
      <c r="K107">
        <v>0.19287573822974499</v>
      </c>
      <c r="L107">
        <v>0.17903079415136899</v>
      </c>
      <c r="M107">
        <v>0.28697195419895</v>
      </c>
      <c r="N107">
        <v>0.29246546843620402</v>
      </c>
      <c r="O107">
        <v>0.31213737139506198</v>
      </c>
      <c r="P107">
        <v>0.153278472575375</v>
      </c>
      <c r="Q107">
        <v>0.317346361791842</v>
      </c>
      <c r="R107">
        <v>0.30519640487128902</v>
      </c>
      <c r="S107">
        <f t="shared" si="16"/>
        <v>0.39763891143664032</v>
      </c>
      <c r="T107">
        <f t="shared" si="17"/>
        <v>0.36780021563693999</v>
      </c>
      <c r="U107">
        <f t="shared" si="18"/>
        <v>0.40192422425051799</v>
      </c>
      <c r="V107">
        <f t="shared" si="19"/>
        <v>0.61991243077436897</v>
      </c>
      <c r="W107">
        <f t="shared" si="20"/>
        <v>0.37802309665062456</v>
      </c>
      <c r="X107">
        <f t="shared" si="21"/>
        <v>0.36972477901430684</v>
      </c>
    </row>
    <row r="108" spans="2:24" hidden="1" x14ac:dyDescent="0.2">
      <c r="B108">
        <v>5</v>
      </c>
      <c r="C108">
        <v>2</v>
      </c>
      <c r="D108">
        <v>6</v>
      </c>
      <c r="E108">
        <v>277</v>
      </c>
      <c r="F108">
        <v>283</v>
      </c>
      <c r="G108">
        <v>0</v>
      </c>
      <c r="H108">
        <v>0</v>
      </c>
      <c r="I108">
        <v>0</v>
      </c>
      <c r="J108">
        <v>4.54545454545454E-2</v>
      </c>
      <c r="K108">
        <v>0</v>
      </c>
      <c r="L108">
        <v>0</v>
      </c>
      <c r="M108">
        <v>3.0212573589105701E-2</v>
      </c>
      <c r="N108">
        <v>3.0212573589105701E-2</v>
      </c>
      <c r="O108">
        <v>3.0212573589105701E-2</v>
      </c>
      <c r="P108">
        <v>5.2273455908564102E-2</v>
      </c>
      <c r="Q108">
        <v>3.0212573589105701E-2</v>
      </c>
      <c r="R108">
        <v>3.0212573589105701E-2</v>
      </c>
      <c r="S108">
        <f t="shared" si="16"/>
        <v>0</v>
      </c>
      <c r="T108">
        <f t="shared" si="17"/>
        <v>0</v>
      </c>
      <c r="U108">
        <f t="shared" si="18"/>
        <v>0</v>
      </c>
      <c r="V108">
        <f t="shared" si="19"/>
        <v>0.46511281127768611</v>
      </c>
      <c r="W108">
        <f t="shared" si="20"/>
        <v>0</v>
      </c>
      <c r="X108">
        <f t="shared" si="21"/>
        <v>0</v>
      </c>
    </row>
    <row r="109" spans="2:24" x14ac:dyDescent="0.2">
      <c r="C109">
        <v>2</v>
      </c>
      <c r="D109">
        <v>6.5</v>
      </c>
      <c r="E109">
        <v>284</v>
      </c>
      <c r="F109">
        <v>303</v>
      </c>
      <c r="G109">
        <v>5.4199137643684898E-2</v>
      </c>
      <c r="H109">
        <v>0.19363991886093199</v>
      </c>
      <c r="I109">
        <v>5.4199137643684898E-2</v>
      </c>
      <c r="J109">
        <v>0.23026926877360701</v>
      </c>
      <c r="K109">
        <v>0.14641698731962799</v>
      </c>
      <c r="L109">
        <v>8.6145734289682502E-2</v>
      </c>
      <c r="M109">
        <v>0.32038842161521902</v>
      </c>
      <c r="N109">
        <v>0.54268114539081902</v>
      </c>
      <c r="O109">
        <v>0.32038842161521902</v>
      </c>
      <c r="P109">
        <v>0.31291888076864999</v>
      </c>
      <c r="Q109">
        <v>0.458977686063469</v>
      </c>
      <c r="R109">
        <v>0.32464707872128101</v>
      </c>
      <c r="S109">
        <f t="shared" si="16"/>
        <v>0.14469017003905366</v>
      </c>
      <c r="T109">
        <f t="shared" si="17"/>
        <v>0.26298299513909568</v>
      </c>
      <c r="U109">
        <f t="shared" si="18"/>
        <v>0.14469017003905366</v>
      </c>
      <c r="V109">
        <f t="shared" si="19"/>
        <v>0.42392174602419846</v>
      </c>
      <c r="W109">
        <f t="shared" si="20"/>
        <v>0.24185377532546362</v>
      </c>
      <c r="X109">
        <f t="shared" si="21"/>
        <v>0.2097060405177619</v>
      </c>
    </row>
    <row r="110" spans="2:24" hidden="1" x14ac:dyDescent="0.2">
      <c r="B110" t="s">
        <v>208</v>
      </c>
      <c r="C110">
        <v>2</v>
      </c>
      <c r="D110">
        <v>7</v>
      </c>
      <c r="E110">
        <v>304</v>
      </c>
      <c r="F110">
        <v>308</v>
      </c>
      <c r="G110">
        <v>1.6293322062552799E-2</v>
      </c>
      <c r="H110">
        <v>1.2381656804733699E-2</v>
      </c>
      <c r="I110">
        <v>1.7836010143702501E-2</v>
      </c>
      <c r="J110">
        <v>1.94146238377008E-2</v>
      </c>
      <c r="K110">
        <v>1.2381656804733699E-2</v>
      </c>
      <c r="L110">
        <v>9.0666919287608894E-2</v>
      </c>
      <c r="M110">
        <v>0.117085798816568</v>
      </c>
      <c r="N110">
        <v>7.8121301775147894E-2</v>
      </c>
      <c r="O110">
        <v>0.140118343195266</v>
      </c>
      <c r="P110">
        <v>6.48224852071006E-2</v>
      </c>
      <c r="Q110">
        <v>7.8121301775147894E-2</v>
      </c>
      <c r="R110">
        <v>0.16936339522546401</v>
      </c>
      <c r="S110">
        <f t="shared" si="16"/>
        <v>0.1221579656183156</v>
      </c>
      <c r="T110">
        <f t="shared" si="17"/>
        <v>0.13680941484145123</v>
      </c>
      <c r="U110">
        <f t="shared" si="18"/>
        <v>0.11291876271005077</v>
      </c>
      <c r="V110">
        <f t="shared" si="19"/>
        <v>0.23047590376558574</v>
      </c>
      <c r="W110">
        <f t="shared" si="20"/>
        <v>0.13680941484145123</v>
      </c>
      <c r="X110">
        <f t="shared" si="21"/>
        <v>0.34867826644516348</v>
      </c>
    </row>
    <row r="111" spans="2:24" x14ac:dyDescent="0.2">
      <c r="C111">
        <v>2</v>
      </c>
      <c r="D111">
        <v>7.5</v>
      </c>
      <c r="E111">
        <v>309</v>
      </c>
      <c r="F111">
        <v>337</v>
      </c>
      <c r="G111">
        <v>0.20965991603242101</v>
      </c>
      <c r="H111">
        <v>0.11459112784230401</v>
      </c>
      <c r="I111">
        <v>0.22437155253945601</v>
      </c>
      <c r="J111">
        <v>0.16190663272567299</v>
      </c>
      <c r="K111">
        <v>9.3982995766971902E-2</v>
      </c>
      <c r="L111">
        <v>8.8161483589777295E-2</v>
      </c>
      <c r="M111">
        <v>0.246954538187695</v>
      </c>
      <c r="N111">
        <v>0.215016493627051</v>
      </c>
      <c r="O111">
        <v>0.25401529364943998</v>
      </c>
      <c r="P111">
        <v>0.10344936197796099</v>
      </c>
      <c r="Q111">
        <v>0.14767886551673001</v>
      </c>
      <c r="R111">
        <v>0.164720640366746</v>
      </c>
      <c r="S111">
        <f t="shared" si="16"/>
        <v>0.45916180290550357</v>
      </c>
      <c r="T111">
        <f t="shared" si="17"/>
        <v>0.34765921774341624</v>
      </c>
      <c r="U111">
        <f t="shared" si="18"/>
        <v>0.46901697721609298</v>
      </c>
      <c r="V111">
        <f t="shared" si="19"/>
        <v>0.61014876602467694</v>
      </c>
      <c r="W111">
        <f t="shared" si="20"/>
        <v>0.38890288797635059</v>
      </c>
      <c r="X111">
        <f t="shared" si="21"/>
        <v>0.34862679184446599</v>
      </c>
    </row>
    <row r="112" spans="2:24" hidden="1" x14ac:dyDescent="0.2">
      <c r="B112">
        <v>6</v>
      </c>
      <c r="C112">
        <v>2</v>
      </c>
      <c r="D112">
        <v>8</v>
      </c>
      <c r="E112">
        <v>338</v>
      </c>
      <c r="F112">
        <v>352</v>
      </c>
      <c r="G112">
        <v>1.0812408012408001E-2</v>
      </c>
      <c r="H112">
        <v>1.8013530013530001E-3</v>
      </c>
      <c r="I112">
        <v>8.6335478335478402E-3</v>
      </c>
      <c r="J112">
        <v>5.6209520331142002E-2</v>
      </c>
      <c r="K112">
        <v>1.8013530013530001E-3</v>
      </c>
      <c r="L112">
        <v>2.6577962577962601E-3</v>
      </c>
      <c r="M112">
        <v>0.13071704616008401</v>
      </c>
      <c r="N112">
        <v>8.4257865460397097E-2</v>
      </c>
      <c r="O112">
        <v>0.12796134742337301</v>
      </c>
      <c r="P112">
        <v>7.3182675277056103E-2</v>
      </c>
      <c r="Q112">
        <v>8.4257865460397097E-2</v>
      </c>
      <c r="R112">
        <v>9.9701853752486705E-2</v>
      </c>
      <c r="S112">
        <f t="shared" si="16"/>
        <v>7.6396874951769042E-2</v>
      </c>
      <c r="T112">
        <f t="shared" si="17"/>
        <v>2.0931551942382904E-2</v>
      </c>
      <c r="U112">
        <f t="shared" si="18"/>
        <v>6.3205494006998084E-2</v>
      </c>
      <c r="V112">
        <f t="shared" si="19"/>
        <v>0.43441198340389436</v>
      </c>
      <c r="W112">
        <f t="shared" si="20"/>
        <v>2.0931551942382904E-2</v>
      </c>
      <c r="X112">
        <f t="shared" si="21"/>
        <v>2.5965273010695719E-2</v>
      </c>
    </row>
    <row r="113" spans="2:24" x14ac:dyDescent="0.2">
      <c r="C113">
        <v>2</v>
      </c>
      <c r="D113">
        <v>8.5</v>
      </c>
      <c r="E113">
        <v>353</v>
      </c>
      <c r="F113">
        <v>386</v>
      </c>
      <c r="G113">
        <v>0.33259373701337602</v>
      </c>
      <c r="H113">
        <v>0.32908922183731099</v>
      </c>
      <c r="I113">
        <v>0.35645080571258603</v>
      </c>
      <c r="J113">
        <v>0.25178813367812802</v>
      </c>
      <c r="K113">
        <v>0.35829177854309802</v>
      </c>
      <c r="L113">
        <v>0.241263095053039</v>
      </c>
      <c r="M113">
        <v>0.56049949479865202</v>
      </c>
      <c r="N113">
        <v>0.47290461178443299</v>
      </c>
      <c r="O113">
        <v>0.59082866890490704</v>
      </c>
      <c r="P113">
        <v>0.26848365660267698</v>
      </c>
      <c r="Q113">
        <v>0.49296694475817998</v>
      </c>
      <c r="R113">
        <v>0.46484201078881798</v>
      </c>
      <c r="S113">
        <f t="shared" si="16"/>
        <v>0.37240651386257284</v>
      </c>
      <c r="T113">
        <f t="shared" si="17"/>
        <v>0.41033884306961405</v>
      </c>
      <c r="U113">
        <f t="shared" si="18"/>
        <v>0.3762889572335758</v>
      </c>
      <c r="V113">
        <f t="shared" si="19"/>
        <v>0.48395499887132276</v>
      </c>
      <c r="W113">
        <f t="shared" si="20"/>
        <v>0.42089645455097574</v>
      </c>
      <c r="X113">
        <f t="shared" si="21"/>
        <v>0.34168156136669198</v>
      </c>
    </row>
    <row r="114" spans="2:24" hidden="1" x14ac:dyDescent="0.2">
      <c r="B114">
        <v>7</v>
      </c>
      <c r="C114">
        <v>2</v>
      </c>
      <c r="D114">
        <v>9</v>
      </c>
      <c r="E114">
        <v>387</v>
      </c>
      <c r="F114">
        <v>392</v>
      </c>
      <c r="G114">
        <v>0.357413933315262</v>
      </c>
      <c r="H114">
        <v>1.87138821804382E-2</v>
      </c>
      <c r="I114">
        <v>0.310532991758531</v>
      </c>
      <c r="J114">
        <v>0.10108573419287099</v>
      </c>
      <c r="K114">
        <v>1.87138821804382E-2</v>
      </c>
      <c r="L114">
        <v>9.0728948967724501E-2</v>
      </c>
      <c r="M114">
        <v>0.196508672248804</v>
      </c>
      <c r="N114">
        <v>1.9886363636363601E-2</v>
      </c>
      <c r="O114">
        <v>0.133588489057239</v>
      </c>
      <c r="P114">
        <v>1.9886363636363601E-2</v>
      </c>
      <c r="Q114">
        <v>1.9886363636363601E-2</v>
      </c>
      <c r="R114">
        <v>0.12747434017595299</v>
      </c>
      <c r="S114">
        <f t="shared" si="16"/>
        <v>0.64524164517767446</v>
      </c>
      <c r="T114">
        <f t="shared" si="17"/>
        <v>0.48481251309266216</v>
      </c>
      <c r="U114">
        <f t="shared" si="18"/>
        <v>0.69920732315883183</v>
      </c>
      <c r="V114">
        <f t="shared" si="19"/>
        <v>0.83561198000851911</v>
      </c>
      <c r="W114">
        <f t="shared" si="20"/>
        <v>0.48481251309266216</v>
      </c>
      <c r="X114">
        <f t="shared" si="21"/>
        <v>0.41580009780688226</v>
      </c>
    </row>
    <row r="115" spans="2:24" x14ac:dyDescent="0.2">
      <c r="C115">
        <v>2</v>
      </c>
      <c r="D115">
        <v>9.5</v>
      </c>
      <c r="E115">
        <v>393</v>
      </c>
      <c r="F115">
        <v>404</v>
      </c>
      <c r="G115">
        <v>0.10241701217232101</v>
      </c>
      <c r="H115">
        <v>0.14199197737807201</v>
      </c>
      <c r="I115">
        <v>0.10241701217232101</v>
      </c>
      <c r="J115">
        <v>0.576900141171105</v>
      </c>
      <c r="K115">
        <v>0.15858103043670099</v>
      </c>
      <c r="L115">
        <v>0.10277007660764099</v>
      </c>
      <c r="M115">
        <v>0.38942447641701999</v>
      </c>
      <c r="N115">
        <v>0.44835526042344997</v>
      </c>
      <c r="O115">
        <v>0.38942447641701999</v>
      </c>
      <c r="P115">
        <v>0.31393145939785599</v>
      </c>
      <c r="Q115">
        <v>0.48779842898819298</v>
      </c>
      <c r="R115">
        <v>0.34952613908849001</v>
      </c>
      <c r="S115">
        <f t="shared" si="16"/>
        <v>0.20823174650447848</v>
      </c>
      <c r="T115">
        <f t="shared" si="17"/>
        <v>0.24052281146746129</v>
      </c>
      <c r="U115">
        <f t="shared" si="18"/>
        <v>0.20823174650447848</v>
      </c>
      <c r="V115">
        <f t="shared" si="19"/>
        <v>0.64759730211933142</v>
      </c>
      <c r="W115">
        <f t="shared" si="20"/>
        <v>0.24533736046902851</v>
      </c>
      <c r="X115">
        <f t="shared" si="21"/>
        <v>0.22721851972488238</v>
      </c>
    </row>
    <row r="116" spans="2:24" hidden="1" x14ac:dyDescent="0.2">
      <c r="B116">
        <v>8</v>
      </c>
      <c r="C116">
        <v>2</v>
      </c>
      <c r="D116">
        <v>10</v>
      </c>
      <c r="E116">
        <v>405</v>
      </c>
      <c r="F116">
        <v>414</v>
      </c>
      <c r="G116">
        <v>2.0890105297438101E-2</v>
      </c>
      <c r="H116">
        <v>4.5576214750084401E-3</v>
      </c>
      <c r="I116">
        <v>2.0890105297438101E-2</v>
      </c>
      <c r="J116">
        <v>9.5267380570490095E-3</v>
      </c>
      <c r="K116">
        <v>4.5576214750084401E-3</v>
      </c>
      <c r="L116">
        <v>4.5576214750084401E-3</v>
      </c>
      <c r="M116">
        <v>2.2882133810971199E-2</v>
      </c>
      <c r="N116">
        <v>1.48947477927341E-2</v>
      </c>
      <c r="O116">
        <v>2.2882133810971199E-2</v>
      </c>
      <c r="P116">
        <v>2.1648936170212799E-2</v>
      </c>
      <c r="Q116">
        <v>1.48947477927341E-2</v>
      </c>
      <c r="R116">
        <v>1.48947477927341E-2</v>
      </c>
      <c r="S116">
        <f t="shared" si="16"/>
        <v>0.477245526455712</v>
      </c>
      <c r="T116">
        <f t="shared" si="17"/>
        <v>0.23429647115358071</v>
      </c>
      <c r="U116">
        <f t="shared" si="18"/>
        <v>0.477245526455712</v>
      </c>
      <c r="V116">
        <f t="shared" si="19"/>
        <v>0.30558242261584451</v>
      </c>
      <c r="W116">
        <f t="shared" si="20"/>
        <v>0.23429647115358071</v>
      </c>
      <c r="X116">
        <f t="shared" si="21"/>
        <v>0.23429647115358071</v>
      </c>
    </row>
    <row r="117" spans="2:24" x14ac:dyDescent="0.2">
      <c r="C117">
        <v>2</v>
      </c>
      <c r="D117">
        <v>10.5</v>
      </c>
      <c r="E117">
        <v>415</v>
      </c>
      <c r="F117">
        <v>505</v>
      </c>
      <c r="G117">
        <v>0.49253391996330098</v>
      </c>
      <c r="H117">
        <v>0.30974427648783198</v>
      </c>
      <c r="I117">
        <v>0.48993942062115498</v>
      </c>
      <c r="J117">
        <v>0.36256301033016602</v>
      </c>
      <c r="K117">
        <v>0.30598104601943998</v>
      </c>
      <c r="L117">
        <v>0.21895184897197101</v>
      </c>
      <c r="M117">
        <v>0.58290788600957699</v>
      </c>
      <c r="N117">
        <v>0.45572000819619501</v>
      </c>
      <c r="O117">
        <v>0.55501806126681597</v>
      </c>
      <c r="P117">
        <v>0.28427602174886601</v>
      </c>
      <c r="Q117">
        <v>0.44818501519251702</v>
      </c>
      <c r="R117">
        <v>0.38678636879254003</v>
      </c>
      <c r="S117">
        <f t="shared" si="16"/>
        <v>0.45798286548637523</v>
      </c>
      <c r="T117">
        <f t="shared" si="17"/>
        <v>0.40464889438400137</v>
      </c>
      <c r="U117">
        <f t="shared" si="18"/>
        <v>0.46886062745439144</v>
      </c>
      <c r="V117">
        <f t="shared" si="19"/>
        <v>0.56051504678812791</v>
      </c>
      <c r="W117">
        <f t="shared" si="20"/>
        <v>0.4057210497217596</v>
      </c>
      <c r="X117">
        <f t="shared" si="21"/>
        <v>0.36146282758914766</v>
      </c>
    </row>
    <row r="118" spans="2:24" hidden="1" x14ac:dyDescent="0.2">
      <c r="B118">
        <v>9</v>
      </c>
      <c r="C118">
        <v>2</v>
      </c>
      <c r="D118">
        <v>11</v>
      </c>
      <c r="E118">
        <v>506</v>
      </c>
      <c r="F118">
        <v>512</v>
      </c>
      <c r="G118">
        <v>3.5147039195622199E-3</v>
      </c>
      <c r="H118">
        <v>3.2168686014839901E-3</v>
      </c>
      <c r="I118">
        <v>3.5147039195622199E-3</v>
      </c>
      <c r="J118">
        <v>1.2166232889917101E-2</v>
      </c>
      <c r="K118">
        <v>3.2168686014839901E-3</v>
      </c>
      <c r="L118">
        <v>3.5147039195622199E-3</v>
      </c>
      <c r="M118">
        <v>4.28994082840237E-2</v>
      </c>
      <c r="N118">
        <v>3.9760026298487801E-2</v>
      </c>
      <c r="O118">
        <v>4.28994082840237E-2</v>
      </c>
      <c r="P118">
        <v>5.5060096153846202E-2</v>
      </c>
      <c r="Q118">
        <v>3.9760026298487801E-2</v>
      </c>
      <c r="R118">
        <v>4.28994082840237E-2</v>
      </c>
      <c r="S118">
        <f t="shared" si="16"/>
        <v>7.5724898154804654E-2</v>
      </c>
      <c r="T118">
        <f t="shared" si="17"/>
        <v>7.4851117303174494E-2</v>
      </c>
      <c r="U118">
        <f t="shared" si="18"/>
        <v>7.5724898154804654E-2</v>
      </c>
      <c r="V118">
        <f t="shared" si="19"/>
        <v>0.1809742263629637</v>
      </c>
      <c r="W118">
        <f t="shared" si="20"/>
        <v>7.4851117303174494E-2</v>
      </c>
      <c r="X118">
        <f t="shared" si="21"/>
        <v>7.5724898154804654E-2</v>
      </c>
    </row>
    <row r="119" spans="2:24" x14ac:dyDescent="0.2">
      <c r="C119">
        <v>2</v>
      </c>
      <c r="D119">
        <v>11.5</v>
      </c>
      <c r="E119">
        <v>513</v>
      </c>
      <c r="F119">
        <v>526</v>
      </c>
      <c r="G119">
        <v>8.8443437891421797E-2</v>
      </c>
      <c r="H119">
        <v>7.9042216114754801E-2</v>
      </c>
      <c r="I119">
        <v>8.2398275806897306E-2</v>
      </c>
      <c r="J119">
        <v>0.14003100352959899</v>
      </c>
      <c r="K119">
        <v>7.9042216114754801E-2</v>
      </c>
      <c r="L119">
        <v>5.6072075940782999E-2</v>
      </c>
      <c r="M119">
        <v>0.27047144088276398</v>
      </c>
      <c r="N119">
        <v>0.28007027566783299</v>
      </c>
      <c r="O119">
        <v>0.27422579035224898</v>
      </c>
      <c r="P119">
        <v>0.20217561083331301</v>
      </c>
      <c r="Q119">
        <v>0.28007027566783299</v>
      </c>
      <c r="R119">
        <v>0.245550286086236</v>
      </c>
      <c r="S119">
        <f t="shared" si="16"/>
        <v>0.24641897876590041</v>
      </c>
      <c r="T119">
        <f t="shared" si="17"/>
        <v>0.22010433477933194</v>
      </c>
      <c r="U119">
        <f t="shared" si="18"/>
        <v>0.23105080006049405</v>
      </c>
      <c r="V119">
        <f t="shared" si="19"/>
        <v>0.40920016636819107</v>
      </c>
      <c r="W119">
        <f t="shared" si="20"/>
        <v>0.22010433477933194</v>
      </c>
      <c r="X119">
        <f t="shared" si="21"/>
        <v>0.18590158754794225</v>
      </c>
    </row>
    <row r="120" spans="2:24" hidden="1" x14ac:dyDescent="0.2">
      <c r="B120">
        <v>10</v>
      </c>
      <c r="C120">
        <v>2</v>
      </c>
      <c r="D120">
        <v>12</v>
      </c>
      <c r="E120">
        <v>527</v>
      </c>
      <c r="F120">
        <v>532</v>
      </c>
      <c r="G120">
        <v>0.18500821018062399</v>
      </c>
      <c r="H120">
        <v>9.6683087027914602E-2</v>
      </c>
      <c r="I120">
        <v>0.18500821018062399</v>
      </c>
      <c r="J120">
        <v>1.47500141554838E-2</v>
      </c>
      <c r="K120">
        <v>6.6600692000938294E-2</v>
      </c>
      <c r="L120">
        <v>1.47500141554838E-2</v>
      </c>
      <c r="M120">
        <v>0.19194170771756999</v>
      </c>
      <c r="N120">
        <v>0.10240147783251199</v>
      </c>
      <c r="O120">
        <v>0.19194170771756999</v>
      </c>
      <c r="P120">
        <v>7.5410509031198697E-2</v>
      </c>
      <c r="Q120">
        <v>8.7085092657752702E-2</v>
      </c>
      <c r="R120">
        <v>7.5410509031198697E-2</v>
      </c>
      <c r="S120">
        <f t="shared" si="16"/>
        <v>0.49080315818132292</v>
      </c>
      <c r="T120">
        <f t="shared" si="17"/>
        <v>0.48563828690434541</v>
      </c>
      <c r="U120">
        <f t="shared" si="18"/>
        <v>0.49080315818132292</v>
      </c>
      <c r="V120">
        <f t="shared" si="19"/>
        <v>0.16359725558538582</v>
      </c>
      <c r="W120">
        <f t="shared" si="20"/>
        <v>0.43335622841661436</v>
      </c>
      <c r="X120">
        <f t="shared" si="21"/>
        <v>0.16359725558538582</v>
      </c>
    </row>
    <row r="121" spans="2:24" x14ac:dyDescent="0.2">
      <c r="C121">
        <v>3</v>
      </c>
      <c r="D121">
        <v>12.5</v>
      </c>
      <c r="E121">
        <v>533</v>
      </c>
      <c r="F121">
        <v>566</v>
      </c>
      <c r="G121">
        <v>0.45958647070358299</v>
      </c>
      <c r="H121">
        <v>0.389182735072513</v>
      </c>
      <c r="I121">
        <v>0.40695159415639398</v>
      </c>
      <c r="J121">
        <v>0.35198749937092899</v>
      </c>
      <c r="K121">
        <v>0.41351806440183198</v>
      </c>
      <c r="L121">
        <v>0.316562158884724</v>
      </c>
      <c r="M121">
        <v>0.57097361575744698</v>
      </c>
      <c r="N121">
        <v>0.59222821432417105</v>
      </c>
      <c r="O121">
        <v>0.57043799575948695</v>
      </c>
      <c r="P121">
        <v>0.36477247370487798</v>
      </c>
      <c r="Q121">
        <v>0.59141715728492406</v>
      </c>
      <c r="R121">
        <v>0.46727477763122799</v>
      </c>
      <c r="S121">
        <f t="shared" si="16"/>
        <v>0.44595795698028129</v>
      </c>
      <c r="T121">
        <f t="shared" si="17"/>
        <v>0.39655430307941902</v>
      </c>
      <c r="U121">
        <f t="shared" si="18"/>
        <v>0.41636579553852043</v>
      </c>
      <c r="V121">
        <f t="shared" si="19"/>
        <v>0.49108141162020719</v>
      </c>
      <c r="W121">
        <f t="shared" si="20"/>
        <v>0.41148728343679042</v>
      </c>
      <c r="X121">
        <f t="shared" si="21"/>
        <v>0.40386226284742271</v>
      </c>
    </row>
    <row r="180" spans="1:3" x14ac:dyDescent="0.2">
      <c r="A180" t="s">
        <v>341</v>
      </c>
      <c r="B180" t="s">
        <v>328</v>
      </c>
      <c r="C180" t="s">
        <v>329</v>
      </c>
    </row>
    <row r="181" spans="1:3" x14ac:dyDescent="0.2">
      <c r="A181" t="s">
        <v>342</v>
      </c>
      <c r="B181">
        <v>0.41618055307767099</v>
      </c>
      <c r="C181">
        <v>0.35391699590589099</v>
      </c>
    </row>
    <row r="182" spans="1:3" x14ac:dyDescent="0.2">
      <c r="A182" t="s">
        <v>330</v>
      </c>
      <c r="B182">
        <v>0.80687513234807096</v>
      </c>
      <c r="C182">
        <v>0.72625037143612503</v>
      </c>
    </row>
    <row r="183" spans="1:3" x14ac:dyDescent="0.2">
      <c r="A183" t="s">
        <v>331</v>
      </c>
      <c r="B183">
        <v>0.83925343205895597</v>
      </c>
      <c r="C183">
        <v>0.76259433268925203</v>
      </c>
    </row>
    <row r="184" spans="1:3" x14ac:dyDescent="0.2">
      <c r="A184" t="s">
        <v>332</v>
      </c>
      <c r="B184">
        <v>0.76498687496645101</v>
      </c>
      <c r="C184">
        <v>0.80219154803507298</v>
      </c>
    </row>
    <row r="185" spans="1:3" x14ac:dyDescent="0.2">
      <c r="A185" t="s">
        <v>333</v>
      </c>
      <c r="B185">
        <v>0.82144584266448295</v>
      </c>
      <c r="C185">
        <v>0.83250080911780799</v>
      </c>
    </row>
    <row r="186" spans="1:3" x14ac:dyDescent="0.2">
      <c r="A186" t="s">
        <v>334</v>
      </c>
      <c r="B186">
        <v>0.79762452957574603</v>
      </c>
      <c r="C186">
        <v>0.79943749079589799</v>
      </c>
    </row>
    <row r="187" spans="1:3" x14ac:dyDescent="0.2">
      <c r="A187" t="s">
        <v>335</v>
      </c>
      <c r="B187">
        <v>0.56886597206211398</v>
      </c>
      <c r="C187">
        <v>0.448131470174087</v>
      </c>
    </row>
    <row r="188" spans="1:3" x14ac:dyDescent="0.2">
      <c r="A188" t="s">
        <v>336</v>
      </c>
      <c r="B188">
        <v>0.86148462450431695</v>
      </c>
      <c r="C188">
        <v>0.77864181643670705</v>
      </c>
    </row>
    <row r="189" spans="1:3" x14ac:dyDescent="0.2">
      <c r="A189" t="s">
        <v>337</v>
      </c>
      <c r="B189">
        <v>0.63957865510577405</v>
      </c>
      <c r="C189">
        <v>0.546977248378686</v>
      </c>
    </row>
    <row r="190" spans="1:3" x14ac:dyDescent="0.2">
      <c r="A190" t="s">
        <v>338</v>
      </c>
      <c r="B190">
        <v>0.91694365137983602</v>
      </c>
      <c r="C190">
        <v>0.674196244338649</v>
      </c>
    </row>
    <row r="191" spans="1:3" x14ac:dyDescent="0.2">
      <c r="A191" t="s">
        <v>339</v>
      </c>
      <c r="B191">
        <v>0.79968868270188398</v>
      </c>
      <c r="C191">
        <v>0.59624823230066304</v>
      </c>
    </row>
    <row r="192" spans="1:3" x14ac:dyDescent="0.2">
      <c r="A192" t="s">
        <v>340</v>
      </c>
      <c r="B192">
        <v>0.73528839311349703</v>
      </c>
      <c r="C192">
        <v>0.623827653812981</v>
      </c>
    </row>
  </sheetData>
  <autoFilter ref="B47:X71" xr:uid="{536C8F1B-E8E2-489F-957B-F5DF357D2399}">
    <filterColumn colId="0">
      <filters blank="1"/>
    </filterColumn>
  </autoFilter>
  <phoneticPr fontId="5" type="noConversion"/>
  <conditionalFormatting sqref="D3:D3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33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6:R34 O2:W2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25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6:R34 P2:W25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2:U25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2:W2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3:S2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8:X71 Y49:AA49 Y51:AA51 Y53:AA53 Y55:AA55 Y57:AA57 Y59:AA59 Y61:AA61 Y63:AA63 Y65:AA65 Y67:AA67 Y69:AA69 Y71:AA7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9:Y71 Z49:AA49 Z51:AA51 Z53:AA53 Z55:AA55 Z57:AA57 Z59:AA59 Z61:AA61 Z63:AA63 Z65:AA65 Z67:AA67 Z69:AA69 Z71:AA7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8:X1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9:X7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2BA2-909F-4BB8-A2B6-7C380D94CA99}">
  <dimension ref="A1:X25"/>
  <sheetViews>
    <sheetView tabSelected="1" workbookViewId="0">
      <selection activeCell="Q37" sqref="Q37"/>
    </sheetView>
  </sheetViews>
  <sheetFormatPr defaultRowHeight="14.25" x14ac:dyDescent="0.2"/>
  <sheetData>
    <row r="1" spans="1:24" x14ac:dyDescent="0.2">
      <c r="F1" t="s">
        <v>131</v>
      </c>
      <c r="P1" t="s">
        <v>125</v>
      </c>
    </row>
    <row r="2" spans="1:24" x14ac:dyDescent="0.2">
      <c r="A2" t="s">
        <v>209</v>
      </c>
      <c r="B2">
        <v>2</v>
      </c>
      <c r="C2">
        <v>1</v>
      </c>
      <c r="D2">
        <v>1</v>
      </c>
      <c r="E2">
        <v>5</v>
      </c>
      <c r="F2">
        <v>0.57374690661521</v>
      </c>
      <c r="G2">
        <v>2.2892176071055401E-2</v>
      </c>
      <c r="H2">
        <v>0.14750779465403699</v>
      </c>
      <c r="I2">
        <v>3.9569394378621697E-2</v>
      </c>
      <c r="J2">
        <f>F2+G2</f>
        <v>0.59663908268626542</v>
      </c>
      <c r="K2">
        <f>F2/$J2</f>
        <v>0.96163145067871292</v>
      </c>
      <c r="L2">
        <f>G2/$J2</f>
        <v>3.8368549321286992E-2</v>
      </c>
      <c r="M2">
        <f>F2/H2</f>
        <v>3.8896039898153796</v>
      </c>
      <c r="N2">
        <f>G2/I2</f>
        <v>0.57853238419598962</v>
      </c>
      <c r="P2">
        <v>0.11451185648252001</v>
      </c>
      <c r="Q2">
        <v>0.55324994831614305</v>
      </c>
      <c r="R2">
        <v>0.14750779465403699</v>
      </c>
      <c r="S2">
        <v>3.9569394378621697E-2</v>
      </c>
      <c r="T2">
        <f>P2+Q2</f>
        <v>0.66776180479866309</v>
      </c>
      <c r="U2">
        <f>P2/$T2</f>
        <v>0.17148608330038656</v>
      </c>
      <c r="V2">
        <f>Q2/$T2</f>
        <v>0.82851391669961338</v>
      </c>
      <c r="W2">
        <f>P2/R2</f>
        <v>0.77631054515522202</v>
      </c>
      <c r="X2">
        <f>Q2/S2</f>
        <v>13.981764366225667</v>
      </c>
    </row>
    <row r="3" spans="1:24" x14ac:dyDescent="0.2">
      <c r="B3">
        <v>2</v>
      </c>
      <c r="C3">
        <v>1.5</v>
      </c>
      <c r="D3">
        <v>6</v>
      </c>
      <c r="E3">
        <v>12</v>
      </c>
      <c r="F3">
        <v>0.88242952488358795</v>
      </c>
      <c r="G3">
        <v>3.1575296785380798E-2</v>
      </c>
      <c r="H3">
        <v>0.185031494016452</v>
      </c>
      <c r="I3">
        <v>4.8550992732544498E-2</v>
      </c>
      <c r="J3">
        <f t="shared" ref="J3:J25" si="0">F3+G3</f>
        <v>0.91400482166896879</v>
      </c>
      <c r="K3">
        <f t="shared" ref="K3:K25" si="1">F3/$J3</f>
        <v>0.96545390567226497</v>
      </c>
      <c r="L3">
        <f t="shared" ref="L3:L25" si="2">G3/$J3</f>
        <v>3.4546094327734991E-2</v>
      </c>
      <c r="M3">
        <f t="shared" ref="M3:M25" si="3">F3/H3</f>
        <v>4.7690774458380965</v>
      </c>
      <c r="N3">
        <f t="shared" ref="N3:N25" si="4">G3/I3</f>
        <v>0.65035326794080928</v>
      </c>
      <c r="P3">
        <v>0.26267921643527398</v>
      </c>
      <c r="Q3">
        <v>0.84927666398254598</v>
      </c>
      <c r="R3">
        <v>0.185031494016452</v>
      </c>
      <c r="S3">
        <v>4.8550992732544498E-2</v>
      </c>
      <c r="T3">
        <f t="shared" ref="T3:T25" si="5">P3+Q3</f>
        <v>1.11195588041782</v>
      </c>
      <c r="U3">
        <f t="shared" ref="U3:U25" si="6">P3/$T3</f>
        <v>0.23623168963913538</v>
      </c>
      <c r="V3">
        <f t="shared" ref="V3:V25" si="7">Q3/$T3</f>
        <v>0.76376831036086457</v>
      </c>
      <c r="W3">
        <f t="shared" ref="W3:W25" si="8">P3/R3</f>
        <v>1.4196459788187084</v>
      </c>
      <c r="X3">
        <f t="shared" ref="X3:X25" si="9">Q3/S3</f>
        <v>17.492467531220271</v>
      </c>
    </row>
    <row r="4" spans="1:24" x14ac:dyDescent="0.2">
      <c r="A4">
        <v>1</v>
      </c>
      <c r="B4">
        <v>2</v>
      </c>
      <c r="C4">
        <v>2</v>
      </c>
      <c r="D4">
        <v>13</v>
      </c>
      <c r="E4">
        <v>18</v>
      </c>
      <c r="F4">
        <v>0.243790942453849</v>
      </c>
      <c r="G4">
        <v>0.12721623817477401</v>
      </c>
      <c r="H4">
        <v>0.15897734492857901</v>
      </c>
      <c r="I4">
        <v>0.16028770433720599</v>
      </c>
      <c r="J4">
        <f t="shared" si="0"/>
        <v>0.37100718062862303</v>
      </c>
      <c r="K4">
        <f t="shared" si="1"/>
        <v>0.65710572512579735</v>
      </c>
      <c r="L4">
        <f t="shared" si="2"/>
        <v>0.3428942748742026</v>
      </c>
      <c r="M4">
        <f t="shared" si="3"/>
        <v>1.5334948672301245</v>
      </c>
      <c r="N4">
        <f t="shared" si="4"/>
        <v>0.79367434140264603</v>
      </c>
      <c r="P4">
        <v>0.11958214067303501</v>
      </c>
      <c r="Q4">
        <v>0.17005782102484501</v>
      </c>
      <c r="R4">
        <v>0.15897734492857901</v>
      </c>
      <c r="S4">
        <v>0.16028770433720599</v>
      </c>
      <c r="T4">
        <f t="shared" si="5"/>
        <v>0.28963996169788003</v>
      </c>
      <c r="U4">
        <f t="shared" si="6"/>
        <v>0.41286478554975675</v>
      </c>
      <c r="V4">
        <f t="shared" si="7"/>
        <v>0.58713521445024319</v>
      </c>
      <c r="W4">
        <f t="shared" si="8"/>
        <v>0.75219611150731946</v>
      </c>
      <c r="X4">
        <f t="shared" si="9"/>
        <v>1.060953625407755</v>
      </c>
    </row>
    <row r="5" spans="1:24" x14ac:dyDescent="0.2">
      <c r="B5">
        <v>2</v>
      </c>
      <c r="C5">
        <v>2.5</v>
      </c>
      <c r="D5">
        <v>19</v>
      </c>
      <c r="E5">
        <v>55</v>
      </c>
      <c r="F5">
        <v>0.43252056871288502</v>
      </c>
      <c r="G5">
        <v>8.8046705065884398E-2</v>
      </c>
      <c r="H5">
        <v>0.11951084391472799</v>
      </c>
      <c r="I5">
        <v>9.3694817516652998E-2</v>
      </c>
      <c r="J5">
        <f t="shared" si="0"/>
        <v>0.52056727377876943</v>
      </c>
      <c r="K5">
        <f t="shared" si="1"/>
        <v>0.83086392575784074</v>
      </c>
      <c r="L5">
        <f t="shared" si="2"/>
        <v>0.16913607424215926</v>
      </c>
      <c r="M5">
        <f t="shared" si="3"/>
        <v>3.6190905740862491</v>
      </c>
      <c r="N5">
        <f t="shared" si="4"/>
        <v>0.93971798440436982</v>
      </c>
      <c r="P5">
        <v>9.6617425472854096E-2</v>
      </c>
      <c r="Q5">
        <v>0.47271179145891301</v>
      </c>
      <c r="R5">
        <v>0.11951084391472799</v>
      </c>
      <c r="S5">
        <v>9.3694817516652998E-2</v>
      </c>
      <c r="T5">
        <f t="shared" si="5"/>
        <v>0.56932921693176708</v>
      </c>
      <c r="U5">
        <f t="shared" si="6"/>
        <v>0.16970396494588033</v>
      </c>
      <c r="V5">
        <f t="shared" si="7"/>
        <v>0.83029603505411975</v>
      </c>
      <c r="W5">
        <f t="shared" si="8"/>
        <v>0.8084406595086171</v>
      </c>
      <c r="X5">
        <f t="shared" si="9"/>
        <v>5.0452287969384733</v>
      </c>
    </row>
    <row r="6" spans="1:24" x14ac:dyDescent="0.2">
      <c r="A6">
        <v>2</v>
      </c>
      <c r="B6">
        <v>2</v>
      </c>
      <c r="C6">
        <v>3</v>
      </c>
      <c r="D6">
        <v>56</v>
      </c>
      <c r="E6">
        <v>69</v>
      </c>
      <c r="F6">
        <v>0.17931524738736701</v>
      </c>
      <c r="G6">
        <v>2.15526707041124E-2</v>
      </c>
      <c r="H6">
        <v>9.5504910572460407E-3</v>
      </c>
      <c r="I6">
        <v>2.2454575027605901E-2</v>
      </c>
      <c r="J6">
        <f t="shared" si="0"/>
        <v>0.20086791809147941</v>
      </c>
      <c r="K6">
        <f t="shared" si="1"/>
        <v>0.89270227466440477</v>
      </c>
      <c r="L6">
        <f t="shared" si="2"/>
        <v>0.10729772533559524</v>
      </c>
      <c r="M6">
        <f t="shared" si="3"/>
        <v>18.77550026616893</v>
      </c>
      <c r="N6">
        <f t="shared" si="4"/>
        <v>0.95983427331024118</v>
      </c>
      <c r="P6">
        <v>1.44886867297826E-2</v>
      </c>
      <c r="Q6">
        <v>9.43550960281722E-2</v>
      </c>
      <c r="R6">
        <v>9.5504910572460407E-3</v>
      </c>
      <c r="S6">
        <v>2.2454575027605901E-2</v>
      </c>
      <c r="T6">
        <f t="shared" si="5"/>
        <v>0.1088437827579548</v>
      </c>
      <c r="U6">
        <f t="shared" si="6"/>
        <v>0.13311450927796517</v>
      </c>
      <c r="V6">
        <f t="shared" si="7"/>
        <v>0.86688549072203491</v>
      </c>
      <c r="W6">
        <f t="shared" si="8"/>
        <v>1.5170619649750792</v>
      </c>
      <c r="X6">
        <f t="shared" si="9"/>
        <v>4.2020432768008753</v>
      </c>
    </row>
    <row r="7" spans="1:24" x14ac:dyDescent="0.2">
      <c r="B7">
        <v>2</v>
      </c>
      <c r="C7">
        <v>3.5</v>
      </c>
      <c r="D7">
        <v>70</v>
      </c>
      <c r="E7">
        <v>137</v>
      </c>
      <c r="F7">
        <v>0.62253690159795205</v>
      </c>
      <c r="G7">
        <v>0.23225358802202201</v>
      </c>
      <c r="H7">
        <v>0.30618407421122501</v>
      </c>
      <c r="I7">
        <v>0.247788689748663</v>
      </c>
      <c r="J7">
        <f t="shared" si="0"/>
        <v>0.85479048961997406</v>
      </c>
      <c r="K7">
        <f t="shared" si="1"/>
        <v>0.7282917968293281</v>
      </c>
      <c r="L7">
        <f t="shared" si="2"/>
        <v>0.2717082031706719</v>
      </c>
      <c r="M7">
        <f t="shared" si="3"/>
        <v>2.0332112413152061</v>
      </c>
      <c r="N7">
        <f t="shared" si="4"/>
        <v>0.93730504107189661</v>
      </c>
      <c r="P7">
        <v>0.32100060616347698</v>
      </c>
      <c r="Q7">
        <v>0.53383926779004598</v>
      </c>
      <c r="R7">
        <v>0.30618407421122501</v>
      </c>
      <c r="S7">
        <v>0.247788689748663</v>
      </c>
      <c r="T7">
        <f t="shared" si="5"/>
        <v>0.85483987395352301</v>
      </c>
      <c r="U7">
        <f t="shared" si="6"/>
        <v>0.37550963162128947</v>
      </c>
      <c r="V7">
        <f t="shared" si="7"/>
        <v>0.62449036837871041</v>
      </c>
      <c r="W7">
        <f t="shared" si="8"/>
        <v>1.0483909295100391</v>
      </c>
      <c r="X7">
        <f t="shared" si="9"/>
        <v>2.1544133767022609</v>
      </c>
    </row>
    <row r="8" spans="1:24" x14ac:dyDescent="0.2">
      <c r="A8">
        <v>3</v>
      </c>
      <c r="B8">
        <v>2</v>
      </c>
      <c r="C8">
        <v>4</v>
      </c>
      <c r="D8">
        <v>138</v>
      </c>
      <c r="E8">
        <v>153</v>
      </c>
      <c r="F8">
        <v>1.11396492349807E-2</v>
      </c>
      <c r="G8">
        <v>1.5353900233095799E-3</v>
      </c>
      <c r="H8">
        <v>6.8162534447084103E-3</v>
      </c>
      <c r="I8">
        <v>2.03581798693566E-3</v>
      </c>
      <c r="J8">
        <f t="shared" si="0"/>
        <v>1.2675039258290279E-2</v>
      </c>
      <c r="K8">
        <f t="shared" si="1"/>
        <v>0.87886506763240702</v>
      </c>
      <c r="L8">
        <f t="shared" si="2"/>
        <v>0.12113493236759307</v>
      </c>
      <c r="M8">
        <f t="shared" si="3"/>
        <v>1.6342774407293534</v>
      </c>
      <c r="N8">
        <f t="shared" si="4"/>
        <v>0.75418825904995035</v>
      </c>
      <c r="P8">
        <v>2.7214820557841398E-3</v>
      </c>
      <c r="Q8">
        <v>1.0979472122079399E-2</v>
      </c>
      <c r="R8">
        <v>6.8162534447084103E-3</v>
      </c>
      <c r="S8">
        <v>2.03581798693566E-3</v>
      </c>
      <c r="T8">
        <f t="shared" si="5"/>
        <v>1.3700954177863539E-2</v>
      </c>
      <c r="U8">
        <f t="shared" si="6"/>
        <v>0.1986344907408861</v>
      </c>
      <c r="V8">
        <f t="shared" si="7"/>
        <v>0.80136550925911387</v>
      </c>
      <c r="W8">
        <f t="shared" si="8"/>
        <v>0.39926362449108743</v>
      </c>
      <c r="X8">
        <f t="shared" si="9"/>
        <v>5.3931501698763578</v>
      </c>
    </row>
    <row r="9" spans="1:24" x14ac:dyDescent="0.2">
      <c r="B9">
        <v>2</v>
      </c>
      <c r="C9">
        <v>4.5</v>
      </c>
      <c r="D9">
        <v>154</v>
      </c>
      <c r="E9">
        <v>187</v>
      </c>
      <c r="F9">
        <v>0.51773894930397701</v>
      </c>
      <c r="G9">
        <v>3.8528018186954803E-2</v>
      </c>
      <c r="H9">
        <v>7.3036948463227599E-2</v>
      </c>
      <c r="I9">
        <v>5.3997229492452101E-2</v>
      </c>
      <c r="J9">
        <f t="shared" si="0"/>
        <v>0.55626696749093185</v>
      </c>
      <c r="K9">
        <f t="shared" si="1"/>
        <v>0.93073825979504543</v>
      </c>
      <c r="L9">
        <f t="shared" si="2"/>
        <v>6.9261740204954514E-2</v>
      </c>
      <c r="M9">
        <f t="shared" si="3"/>
        <v>7.0887264623965844</v>
      </c>
      <c r="N9">
        <f t="shared" si="4"/>
        <v>0.71351842583591008</v>
      </c>
      <c r="P9">
        <v>5.5091134744006301E-2</v>
      </c>
      <c r="Q9">
        <v>0.58927188685584397</v>
      </c>
      <c r="R9">
        <v>7.3036948463227599E-2</v>
      </c>
      <c r="S9">
        <v>5.3997229492452101E-2</v>
      </c>
      <c r="T9">
        <f t="shared" si="5"/>
        <v>0.64436302159985026</v>
      </c>
      <c r="U9">
        <f t="shared" si="6"/>
        <v>8.5497045760360102E-2</v>
      </c>
      <c r="V9">
        <f t="shared" si="7"/>
        <v>0.9145029542396399</v>
      </c>
      <c r="W9">
        <f t="shared" si="8"/>
        <v>0.75429129917364224</v>
      </c>
      <c r="X9">
        <f t="shared" si="9"/>
        <v>10.913002248350802</v>
      </c>
    </row>
    <row r="10" spans="1:24" x14ac:dyDescent="0.2">
      <c r="A10">
        <v>4</v>
      </c>
      <c r="B10">
        <v>2</v>
      </c>
      <c r="C10">
        <v>5</v>
      </c>
      <c r="D10">
        <v>188</v>
      </c>
      <c r="E10">
        <v>191</v>
      </c>
      <c r="F10">
        <v>0.20158858998144699</v>
      </c>
      <c r="G10">
        <v>0</v>
      </c>
      <c r="H10">
        <v>1.6564139941691002E-2</v>
      </c>
      <c r="I10">
        <v>0</v>
      </c>
      <c r="J10">
        <f t="shared" si="0"/>
        <v>0.20158858998144699</v>
      </c>
      <c r="K10">
        <f t="shared" si="1"/>
        <v>1</v>
      </c>
      <c r="L10">
        <f t="shared" si="2"/>
        <v>0</v>
      </c>
      <c r="M10">
        <f t="shared" si="3"/>
        <v>12.170181530165653</v>
      </c>
      <c r="N10" t="e">
        <f t="shared" si="4"/>
        <v>#DIV/0!</v>
      </c>
      <c r="P10">
        <v>8.4566326530612305E-3</v>
      </c>
      <c r="Q10">
        <v>0.18181818181818199</v>
      </c>
      <c r="R10">
        <v>1.6564139941691002E-2</v>
      </c>
      <c r="S10">
        <v>0</v>
      </c>
      <c r="T10">
        <f t="shared" si="5"/>
        <v>0.19027481447124323</v>
      </c>
      <c r="U10">
        <f t="shared" si="6"/>
        <v>4.4444309019885053E-2</v>
      </c>
      <c r="V10">
        <f t="shared" si="7"/>
        <v>0.95555569098011495</v>
      </c>
      <c r="W10">
        <f t="shared" si="8"/>
        <v>0.51053859016104819</v>
      </c>
      <c r="X10" t="e">
        <f t="shared" si="9"/>
        <v>#DIV/0!</v>
      </c>
    </row>
    <row r="11" spans="1:24" x14ac:dyDescent="0.2">
      <c r="B11">
        <v>2</v>
      </c>
      <c r="C11">
        <v>5.5</v>
      </c>
      <c r="D11">
        <v>192</v>
      </c>
      <c r="E11">
        <v>276</v>
      </c>
      <c r="F11">
        <v>0.30103252036870998</v>
      </c>
      <c r="G11">
        <v>4.8305324291942203E-2</v>
      </c>
      <c r="H11">
        <v>0.101803430148903</v>
      </c>
      <c r="I11">
        <v>5.7899305988876201E-2</v>
      </c>
      <c r="J11">
        <f t="shared" si="0"/>
        <v>0.34933784466065221</v>
      </c>
      <c r="K11">
        <f t="shared" si="1"/>
        <v>0.86172318564893491</v>
      </c>
      <c r="L11">
        <f t="shared" si="2"/>
        <v>0.13827681435106504</v>
      </c>
      <c r="M11">
        <f t="shared" si="3"/>
        <v>2.9569978136139827</v>
      </c>
      <c r="N11">
        <f t="shared" si="4"/>
        <v>0.83429884809366761</v>
      </c>
      <c r="P11">
        <v>7.8168436338300201E-2</v>
      </c>
      <c r="Q11">
        <v>0.28501311559463</v>
      </c>
      <c r="R11">
        <v>0.101803430148903</v>
      </c>
      <c r="S11">
        <v>5.7899305988876201E-2</v>
      </c>
      <c r="T11">
        <f t="shared" si="5"/>
        <v>0.36318155193293022</v>
      </c>
      <c r="U11">
        <f t="shared" si="6"/>
        <v>0.21523239801766084</v>
      </c>
      <c r="V11">
        <f t="shared" si="7"/>
        <v>0.78476760198233908</v>
      </c>
      <c r="W11">
        <f t="shared" si="8"/>
        <v>0.76783696014925007</v>
      </c>
      <c r="X11">
        <f t="shared" si="9"/>
        <v>4.9225653179571376</v>
      </c>
    </row>
    <row r="12" spans="1:24" x14ac:dyDescent="0.2">
      <c r="A12">
        <v>5</v>
      </c>
      <c r="B12">
        <v>2</v>
      </c>
      <c r="C12">
        <v>6</v>
      </c>
      <c r="D12">
        <v>277</v>
      </c>
      <c r="E12">
        <v>283</v>
      </c>
      <c r="F12">
        <v>2.4390243902439001E-2</v>
      </c>
      <c r="G12">
        <v>0</v>
      </c>
      <c r="H12">
        <v>0</v>
      </c>
      <c r="I12">
        <v>0</v>
      </c>
      <c r="J12">
        <f t="shared" si="0"/>
        <v>2.4390243902439001E-2</v>
      </c>
      <c r="K12">
        <f t="shared" si="1"/>
        <v>1</v>
      </c>
      <c r="L12">
        <f t="shared" si="2"/>
        <v>0</v>
      </c>
      <c r="M12" t="e">
        <f t="shared" si="3"/>
        <v>#DIV/0!</v>
      </c>
      <c r="N12" t="e">
        <f t="shared" si="4"/>
        <v>#DIV/0!</v>
      </c>
      <c r="P12">
        <v>0</v>
      </c>
      <c r="Q12">
        <v>2.4390243902439001E-2</v>
      </c>
      <c r="R12">
        <v>0</v>
      </c>
      <c r="S12">
        <v>0</v>
      </c>
      <c r="T12">
        <f t="shared" si="5"/>
        <v>2.4390243902439001E-2</v>
      </c>
      <c r="U12">
        <f t="shared" si="6"/>
        <v>0</v>
      </c>
      <c r="V12">
        <f t="shared" si="7"/>
        <v>1</v>
      </c>
      <c r="W12" t="e">
        <f t="shared" si="8"/>
        <v>#DIV/0!</v>
      </c>
      <c r="X12" t="e">
        <f t="shared" si="9"/>
        <v>#DIV/0!</v>
      </c>
    </row>
    <row r="13" spans="1:24" x14ac:dyDescent="0.2">
      <c r="B13">
        <v>2</v>
      </c>
      <c r="C13">
        <v>6.5</v>
      </c>
      <c r="D13">
        <v>284</v>
      </c>
      <c r="E13">
        <v>303</v>
      </c>
      <c r="F13">
        <v>0.40672478327345901</v>
      </c>
      <c r="G13">
        <v>8.6910032892167102E-2</v>
      </c>
      <c r="H13">
        <v>3.0695549926629099E-2</v>
      </c>
      <c r="I13">
        <v>9.0860803875296298E-2</v>
      </c>
      <c r="J13">
        <f t="shared" si="0"/>
        <v>0.4936348161656261</v>
      </c>
      <c r="K13">
        <f t="shared" si="1"/>
        <v>0.82393860796276019</v>
      </c>
      <c r="L13">
        <f t="shared" si="2"/>
        <v>0.17606139203723981</v>
      </c>
      <c r="M13">
        <f t="shared" si="3"/>
        <v>13.250284951585632</v>
      </c>
      <c r="N13">
        <f t="shared" si="4"/>
        <v>0.95651842362575279</v>
      </c>
      <c r="P13">
        <v>1.8213015398763199E-2</v>
      </c>
      <c r="Q13">
        <v>0.45088713830293797</v>
      </c>
      <c r="R13">
        <v>3.0695549926629099E-2</v>
      </c>
      <c r="S13">
        <v>9.0860803875296298E-2</v>
      </c>
      <c r="T13">
        <f t="shared" si="5"/>
        <v>0.46910015370170116</v>
      </c>
      <c r="U13">
        <f t="shared" si="6"/>
        <v>3.8825430465206756E-2</v>
      </c>
      <c r="V13">
        <f t="shared" si="7"/>
        <v>0.9611745695347933</v>
      </c>
      <c r="W13">
        <f t="shared" si="8"/>
        <v>0.59334383786240585</v>
      </c>
      <c r="X13">
        <f t="shared" si="9"/>
        <v>4.9623943336641281</v>
      </c>
    </row>
    <row r="14" spans="1:24" x14ac:dyDescent="0.2">
      <c r="A14" t="s">
        <v>208</v>
      </c>
      <c r="B14">
        <v>2</v>
      </c>
      <c r="C14">
        <v>7</v>
      </c>
      <c r="D14">
        <v>304</v>
      </c>
      <c r="E14">
        <v>308</v>
      </c>
      <c r="F14">
        <v>0.325762637362637</v>
      </c>
      <c r="G14">
        <v>9.4044227377560699E-2</v>
      </c>
      <c r="H14">
        <v>1.7322485207100599E-2</v>
      </c>
      <c r="I14">
        <v>8.2400624067290804E-2</v>
      </c>
      <c r="J14">
        <f t="shared" si="0"/>
        <v>0.41980686474019768</v>
      </c>
      <c r="K14">
        <f t="shared" si="1"/>
        <v>0.77598215923467317</v>
      </c>
      <c r="L14">
        <f t="shared" si="2"/>
        <v>0.22401784076532683</v>
      </c>
      <c r="M14">
        <f t="shared" si="3"/>
        <v>18.805767963889199</v>
      </c>
      <c r="N14">
        <f t="shared" si="4"/>
        <v>1.1413047952253539</v>
      </c>
      <c r="P14">
        <v>1.02176669484362E-2</v>
      </c>
      <c r="Q14">
        <v>0.440232251129687</v>
      </c>
      <c r="R14">
        <v>1.7322485207100599E-2</v>
      </c>
      <c r="S14">
        <v>8.2400624067290804E-2</v>
      </c>
      <c r="T14">
        <f t="shared" si="5"/>
        <v>0.45044991807812318</v>
      </c>
      <c r="U14">
        <f t="shared" si="6"/>
        <v>2.2683247434100128E-2</v>
      </c>
      <c r="V14">
        <f t="shared" si="7"/>
        <v>0.97731675256589989</v>
      </c>
      <c r="W14">
        <f t="shared" si="8"/>
        <v>0.5898499451018675</v>
      </c>
      <c r="X14">
        <f t="shared" si="9"/>
        <v>5.3425839441480472</v>
      </c>
    </row>
    <row r="15" spans="1:24" x14ac:dyDescent="0.2">
      <c r="B15">
        <v>2</v>
      </c>
      <c r="C15">
        <v>7.5</v>
      </c>
      <c r="D15">
        <v>309</v>
      </c>
      <c r="E15">
        <v>337</v>
      </c>
      <c r="F15">
        <v>0.27815853103022897</v>
      </c>
      <c r="G15">
        <v>3.9484767179969099E-2</v>
      </c>
      <c r="H15">
        <v>0.13533371468460301</v>
      </c>
      <c r="I15">
        <v>5.4868160975246799E-2</v>
      </c>
      <c r="J15">
        <f t="shared" si="0"/>
        <v>0.3176432982101981</v>
      </c>
      <c r="K15">
        <f t="shared" si="1"/>
        <v>0.87569463167505468</v>
      </c>
      <c r="L15">
        <f t="shared" si="2"/>
        <v>0.12430536832494525</v>
      </c>
      <c r="M15">
        <f t="shared" si="3"/>
        <v>2.0553528119617575</v>
      </c>
      <c r="N15">
        <f t="shared" si="4"/>
        <v>0.71962986326044798</v>
      </c>
      <c r="P15">
        <v>7.1566318845178403E-2</v>
      </c>
      <c r="Q15">
        <v>0.219002089967539</v>
      </c>
      <c r="R15">
        <v>0.13533371468460301</v>
      </c>
      <c r="S15">
        <v>5.4868160975246799E-2</v>
      </c>
      <c r="T15">
        <f t="shared" si="5"/>
        <v>0.29056840881271739</v>
      </c>
      <c r="U15">
        <f t="shared" si="6"/>
        <v>0.24629765891482605</v>
      </c>
      <c r="V15">
        <f t="shared" si="7"/>
        <v>0.75370234108517398</v>
      </c>
      <c r="W15">
        <f t="shared" si="8"/>
        <v>0.52881367375427957</v>
      </c>
      <c r="X15">
        <f t="shared" si="9"/>
        <v>3.991423916437431</v>
      </c>
    </row>
    <row r="16" spans="1:24" x14ac:dyDescent="0.2">
      <c r="A16">
        <v>6</v>
      </c>
      <c r="B16">
        <v>2</v>
      </c>
      <c r="C16">
        <v>8</v>
      </c>
      <c r="D16">
        <v>338</v>
      </c>
      <c r="E16">
        <v>352</v>
      </c>
      <c r="F16">
        <v>0.189872376831836</v>
      </c>
      <c r="G16">
        <v>2.1336692311087799E-2</v>
      </c>
      <c r="H16">
        <v>4.12753169181741E-3</v>
      </c>
      <c r="I16">
        <v>1.40332824485121E-2</v>
      </c>
      <c r="J16">
        <f t="shared" si="0"/>
        <v>0.21120906914292381</v>
      </c>
      <c r="K16">
        <f t="shared" si="1"/>
        <v>0.89897833271236371</v>
      </c>
      <c r="L16">
        <f t="shared" si="2"/>
        <v>0.1010216672876362</v>
      </c>
      <c r="M16">
        <f t="shared" si="3"/>
        <v>46.001434030960169</v>
      </c>
      <c r="N16">
        <f t="shared" si="4"/>
        <v>1.5204348939296133</v>
      </c>
      <c r="P16">
        <v>1.8013530013530001E-3</v>
      </c>
      <c r="Q16">
        <v>0.16386637865936099</v>
      </c>
      <c r="R16">
        <v>4.12753169181741E-3</v>
      </c>
      <c r="S16">
        <v>1.40332824485121E-2</v>
      </c>
      <c r="T16">
        <f t="shared" si="5"/>
        <v>0.165667731660714</v>
      </c>
      <c r="U16">
        <f t="shared" si="6"/>
        <v>1.0873288257740829E-2</v>
      </c>
      <c r="V16">
        <f t="shared" si="7"/>
        <v>0.98912671174225908</v>
      </c>
      <c r="W16">
        <f t="shared" si="8"/>
        <v>0.4364237844433943</v>
      </c>
      <c r="X16">
        <f t="shared" si="9"/>
        <v>11.676981437563466</v>
      </c>
    </row>
    <row r="17" spans="1:24" x14ac:dyDescent="0.2">
      <c r="B17">
        <v>2</v>
      </c>
      <c r="C17">
        <v>8.5</v>
      </c>
      <c r="D17">
        <v>353</v>
      </c>
      <c r="E17">
        <v>386</v>
      </c>
      <c r="F17">
        <v>0.75611278529917103</v>
      </c>
      <c r="G17">
        <v>0.21157807614964</v>
      </c>
      <c r="H17">
        <v>0.257181213119616</v>
      </c>
      <c r="I17">
        <v>0.23670194960496199</v>
      </c>
      <c r="J17">
        <f t="shared" si="0"/>
        <v>0.967690861448811</v>
      </c>
      <c r="K17">
        <f t="shared" si="1"/>
        <v>0.78135778214039475</v>
      </c>
      <c r="L17">
        <f t="shared" si="2"/>
        <v>0.21864221785960522</v>
      </c>
      <c r="M17">
        <f t="shared" si="3"/>
        <v>2.9400000728183047</v>
      </c>
      <c r="N17">
        <f t="shared" si="4"/>
        <v>0.89385861207627615</v>
      </c>
      <c r="P17">
        <v>0.25053298807972801</v>
      </c>
      <c r="Q17">
        <v>0.75796151112539101</v>
      </c>
      <c r="R17">
        <v>0.257181213119616</v>
      </c>
      <c r="S17">
        <v>0.23670194960496199</v>
      </c>
      <c r="T17">
        <f t="shared" si="5"/>
        <v>1.008494499205119</v>
      </c>
      <c r="U17">
        <f t="shared" si="6"/>
        <v>0.24842276113275238</v>
      </c>
      <c r="V17">
        <f t="shared" si="7"/>
        <v>0.75157723886724759</v>
      </c>
      <c r="W17">
        <f t="shared" si="8"/>
        <v>0.97414964740524856</v>
      </c>
      <c r="X17">
        <f t="shared" si="9"/>
        <v>3.2021768827437738</v>
      </c>
    </row>
    <row r="18" spans="1:24" x14ac:dyDescent="0.2">
      <c r="A18">
        <v>7</v>
      </c>
      <c r="B18">
        <v>2</v>
      </c>
      <c r="C18">
        <v>9</v>
      </c>
      <c r="D18">
        <v>387</v>
      </c>
      <c r="E18">
        <v>392</v>
      </c>
      <c r="F18">
        <v>0.10108573419287099</v>
      </c>
      <c r="G18">
        <v>0</v>
      </c>
      <c r="H18">
        <v>1.7011429067594799E-2</v>
      </c>
      <c r="I18">
        <v>0</v>
      </c>
      <c r="J18">
        <f t="shared" si="0"/>
        <v>0.10108573419287099</v>
      </c>
      <c r="K18">
        <f>F18/$J18</f>
        <v>1</v>
      </c>
      <c r="L18">
        <f t="shared" si="2"/>
        <v>0</v>
      </c>
      <c r="M18">
        <f t="shared" si="3"/>
        <v>5.9422247120572589</v>
      </c>
      <c r="N18" t="e">
        <f t="shared" si="4"/>
        <v>#DIV/0!</v>
      </c>
      <c r="P18">
        <v>8.5308915652954707E-3</v>
      </c>
      <c r="Q18">
        <v>9.765625E-2</v>
      </c>
      <c r="R18">
        <v>1.7011429067594799E-2</v>
      </c>
      <c r="S18">
        <v>0</v>
      </c>
      <c r="T18">
        <f t="shared" si="5"/>
        <v>0.10618714156529548</v>
      </c>
      <c r="U18">
        <f t="shared" si="6"/>
        <v>8.0338272973001584E-2</v>
      </c>
      <c r="V18">
        <f t="shared" si="7"/>
        <v>0.91966172702699833</v>
      </c>
      <c r="W18">
        <f t="shared" si="8"/>
        <v>0.50148000684704563</v>
      </c>
      <c r="X18" t="e">
        <f t="shared" si="9"/>
        <v>#DIV/0!</v>
      </c>
    </row>
    <row r="19" spans="1:24" x14ac:dyDescent="0.2">
      <c r="B19">
        <v>2</v>
      </c>
      <c r="C19">
        <v>9.5</v>
      </c>
      <c r="D19">
        <v>393</v>
      </c>
      <c r="E19">
        <v>404</v>
      </c>
      <c r="F19">
        <v>0.40969425209826899</v>
      </c>
      <c r="G19">
        <v>5.3556126921511502E-2</v>
      </c>
      <c r="H19">
        <v>8.4353772037324207E-2</v>
      </c>
      <c r="I19">
        <v>5.5558923312867603E-2</v>
      </c>
      <c r="J19">
        <f t="shared" si="0"/>
        <v>0.4632503790197805</v>
      </c>
      <c r="K19">
        <f t="shared" si="1"/>
        <v>0.88439053836321913</v>
      </c>
      <c r="L19">
        <f t="shared" si="2"/>
        <v>0.11560946163678085</v>
      </c>
      <c r="M19">
        <f t="shared" si="3"/>
        <v>4.8568575204555247</v>
      </c>
      <c r="N19">
        <f t="shared" si="4"/>
        <v>0.9639518501811527</v>
      </c>
      <c r="P19">
        <v>6.8151026898295095E-2</v>
      </c>
      <c r="Q19">
        <v>0.33167924539452298</v>
      </c>
      <c r="R19">
        <v>8.4353772037324207E-2</v>
      </c>
      <c r="S19">
        <v>5.5558923312867603E-2</v>
      </c>
      <c r="T19">
        <f t="shared" si="5"/>
        <v>0.39983027229281809</v>
      </c>
      <c r="U19">
        <f t="shared" si="6"/>
        <v>0.17044989241931208</v>
      </c>
      <c r="V19">
        <f t="shared" si="7"/>
        <v>0.82955010758068792</v>
      </c>
      <c r="W19">
        <f t="shared" si="8"/>
        <v>0.80791913926670822</v>
      </c>
      <c r="X19">
        <f t="shared" si="9"/>
        <v>5.9698645261130379</v>
      </c>
    </row>
    <row r="20" spans="1:24" x14ac:dyDescent="0.2">
      <c r="A20">
        <v>8</v>
      </c>
      <c r="B20">
        <v>2</v>
      </c>
      <c r="C20">
        <v>10</v>
      </c>
      <c r="D20">
        <v>405</v>
      </c>
      <c r="E20">
        <v>414</v>
      </c>
      <c r="F20">
        <v>3.3009992401215799E-2</v>
      </c>
      <c r="G20">
        <v>2.7210884353741499E-3</v>
      </c>
      <c r="H20">
        <v>9.3224257677878807E-3</v>
      </c>
      <c r="I20">
        <v>2.41874527588813E-3</v>
      </c>
      <c r="J20">
        <f t="shared" si="0"/>
        <v>3.5731080836589948E-2</v>
      </c>
      <c r="K20">
        <f t="shared" si="1"/>
        <v>0.92384533656234502</v>
      </c>
      <c r="L20">
        <f t="shared" si="2"/>
        <v>7.6154663437654951E-2</v>
      </c>
      <c r="M20">
        <f t="shared" si="3"/>
        <v>3.5409230626728543</v>
      </c>
      <c r="N20">
        <f t="shared" si="4"/>
        <v>1.1250000000000016</v>
      </c>
      <c r="P20">
        <v>4.4890633400016498E-3</v>
      </c>
      <c r="Q20">
        <v>4.2845804988662098E-2</v>
      </c>
      <c r="R20">
        <v>9.3224257677878807E-3</v>
      </c>
      <c r="S20">
        <v>2.41874527588813E-3</v>
      </c>
      <c r="T20">
        <f t="shared" si="5"/>
        <v>4.7334868328663751E-2</v>
      </c>
      <c r="U20">
        <f t="shared" si="6"/>
        <v>9.4836290846578436E-2</v>
      </c>
      <c r="V20">
        <f t="shared" si="7"/>
        <v>0.90516370915342148</v>
      </c>
      <c r="W20">
        <f t="shared" si="8"/>
        <v>0.48153382518881244</v>
      </c>
      <c r="X20">
        <f t="shared" si="9"/>
        <v>17.714062500000008</v>
      </c>
    </row>
    <row r="21" spans="1:24" x14ac:dyDescent="0.2">
      <c r="B21">
        <v>2</v>
      </c>
      <c r="C21">
        <v>10.5</v>
      </c>
      <c r="D21">
        <v>415</v>
      </c>
      <c r="E21">
        <v>505</v>
      </c>
      <c r="F21">
        <v>0.57923108812314095</v>
      </c>
      <c r="G21">
        <v>0.223141154040332</v>
      </c>
      <c r="H21">
        <v>0.23038528544259301</v>
      </c>
      <c r="I21">
        <v>0.23039284836957599</v>
      </c>
      <c r="J21">
        <f t="shared" si="0"/>
        <v>0.80237224216347292</v>
      </c>
      <c r="K21">
        <f t="shared" si="1"/>
        <v>0.72189821342938498</v>
      </c>
      <c r="L21">
        <f t="shared" si="2"/>
        <v>0.27810178657061507</v>
      </c>
      <c r="M21">
        <f t="shared" si="3"/>
        <v>2.5141843890350049</v>
      </c>
      <c r="N21">
        <f t="shared" si="4"/>
        <v>0.96852465525487375</v>
      </c>
      <c r="P21">
        <v>0.210202906385132</v>
      </c>
      <c r="Q21">
        <v>0.57475586216104502</v>
      </c>
      <c r="R21">
        <v>0.23038528544259301</v>
      </c>
      <c r="S21">
        <v>0.23039284836957599</v>
      </c>
      <c r="T21">
        <f t="shared" si="5"/>
        <v>0.78495876854617697</v>
      </c>
      <c r="U21">
        <f t="shared" si="6"/>
        <v>0.26778846839872755</v>
      </c>
      <c r="V21">
        <f t="shared" si="7"/>
        <v>0.7322115316012725</v>
      </c>
      <c r="W21">
        <f t="shared" si="8"/>
        <v>0.91239727390276404</v>
      </c>
      <c r="X21">
        <f t="shared" si="9"/>
        <v>2.4946775311318348</v>
      </c>
    </row>
    <row r="22" spans="1:24" x14ac:dyDescent="0.2">
      <c r="A22">
        <v>9</v>
      </c>
      <c r="B22">
        <v>2</v>
      </c>
      <c r="C22">
        <v>11</v>
      </c>
      <c r="D22">
        <v>506</v>
      </c>
      <c r="E22">
        <v>512</v>
      </c>
      <c r="F22">
        <v>4.1693777713514603E-2</v>
      </c>
      <c r="G22">
        <v>1.7543859649122801E-3</v>
      </c>
      <c r="H22">
        <v>5.6067919089592697E-3</v>
      </c>
      <c r="I22">
        <v>3.1189083820662802E-3</v>
      </c>
      <c r="J22">
        <f t="shared" si="0"/>
        <v>4.3448163678426882E-2</v>
      </c>
      <c r="K22">
        <f t="shared" si="1"/>
        <v>0.95962117115243295</v>
      </c>
      <c r="L22">
        <f t="shared" si="2"/>
        <v>4.0378828847567091E-2</v>
      </c>
      <c r="M22">
        <f t="shared" si="3"/>
        <v>7.4362984021024214</v>
      </c>
      <c r="N22">
        <f t="shared" si="4"/>
        <v>0.56249999999999922</v>
      </c>
      <c r="P22">
        <v>3.2168686014839901E-3</v>
      </c>
      <c r="Q22">
        <v>4.4174538911380998E-2</v>
      </c>
      <c r="R22">
        <v>5.6067919089592697E-3</v>
      </c>
      <c r="S22">
        <v>3.1189083820662802E-3</v>
      </c>
      <c r="T22">
        <f t="shared" si="5"/>
        <v>4.739140751286499E-2</v>
      </c>
      <c r="U22">
        <f t="shared" si="6"/>
        <v>6.7878730983263816E-2</v>
      </c>
      <c r="V22">
        <f t="shared" si="7"/>
        <v>0.9321212690167362</v>
      </c>
      <c r="W22">
        <f t="shared" si="8"/>
        <v>0.57374496034776223</v>
      </c>
      <c r="X22">
        <f t="shared" si="9"/>
        <v>14.163461538461517</v>
      </c>
    </row>
    <row r="23" spans="1:24" x14ac:dyDescent="0.2">
      <c r="B23">
        <v>2</v>
      </c>
      <c r="C23">
        <v>11.5</v>
      </c>
      <c r="D23">
        <v>513</v>
      </c>
      <c r="E23">
        <v>526</v>
      </c>
      <c r="F23">
        <v>0.28985486532836402</v>
      </c>
      <c r="G23">
        <v>7.9294291216930005E-2</v>
      </c>
      <c r="H23">
        <v>6.7094079174779303E-2</v>
      </c>
      <c r="I23">
        <v>8.0032619191653595E-2</v>
      </c>
      <c r="J23">
        <f t="shared" si="0"/>
        <v>0.36914915654529401</v>
      </c>
      <c r="K23">
        <f t="shared" si="1"/>
        <v>0.78519714914423566</v>
      </c>
      <c r="L23">
        <f t="shared" si="2"/>
        <v>0.21480285085576437</v>
      </c>
      <c r="M23">
        <f t="shared" si="3"/>
        <v>4.3201258425992473</v>
      </c>
      <c r="N23">
        <f t="shared" si="4"/>
        <v>0.99077466185436813</v>
      </c>
      <c r="P23">
        <v>6.1534823448608701E-2</v>
      </c>
      <c r="Q23">
        <v>0.370940698399015</v>
      </c>
      <c r="R23">
        <v>6.7094079174779303E-2</v>
      </c>
      <c r="S23">
        <v>8.0032619191653595E-2</v>
      </c>
      <c r="T23">
        <f t="shared" si="5"/>
        <v>0.43247552184762372</v>
      </c>
      <c r="U23">
        <f t="shared" si="6"/>
        <v>0.14228510132947958</v>
      </c>
      <c r="V23">
        <f t="shared" si="7"/>
        <v>0.85771489867052042</v>
      </c>
      <c r="W23">
        <f t="shared" si="8"/>
        <v>0.91714237985607039</v>
      </c>
      <c r="X23">
        <f t="shared" si="9"/>
        <v>4.6348689090222788</v>
      </c>
    </row>
    <row r="24" spans="1:24" x14ac:dyDescent="0.2">
      <c r="A24">
        <v>10</v>
      </c>
      <c r="B24">
        <v>2</v>
      </c>
      <c r="C24">
        <v>12</v>
      </c>
      <c r="D24">
        <v>527</v>
      </c>
      <c r="E24">
        <v>532</v>
      </c>
      <c r="F24">
        <v>0.11079214087537501</v>
      </c>
      <c r="G24">
        <v>5.6810675122209E-3</v>
      </c>
      <c r="H24">
        <v>2.9216716413081299E-2</v>
      </c>
      <c r="I24">
        <v>7.8096328591770502E-3</v>
      </c>
      <c r="J24">
        <f t="shared" si="0"/>
        <v>0.11647320838759591</v>
      </c>
      <c r="K24">
        <f t="shared" si="1"/>
        <v>0.95122425499505758</v>
      </c>
      <c r="L24">
        <f t="shared" si="2"/>
        <v>4.8775745004942431E-2</v>
      </c>
      <c r="M24">
        <f t="shared" si="3"/>
        <v>3.7920805099703014</v>
      </c>
      <c r="N24">
        <f t="shared" si="4"/>
        <v>0.72744360902255645</v>
      </c>
      <c r="P24">
        <v>1.47500141554838E-2</v>
      </c>
      <c r="Q24">
        <v>6.8040692297529404E-2</v>
      </c>
      <c r="R24">
        <v>2.9216716413081299E-2</v>
      </c>
      <c r="S24">
        <v>7.8096328591770502E-3</v>
      </c>
      <c r="T24">
        <f t="shared" si="5"/>
        <v>8.2790706453013202E-2</v>
      </c>
      <c r="U24">
        <f t="shared" si="6"/>
        <v>0.17816026444773703</v>
      </c>
      <c r="V24">
        <f t="shared" si="7"/>
        <v>0.82183973555226297</v>
      </c>
      <c r="W24">
        <f t="shared" si="8"/>
        <v>0.50484845548487878</v>
      </c>
      <c r="X24">
        <f t="shared" si="9"/>
        <v>8.7124060150375975</v>
      </c>
    </row>
    <row r="25" spans="1:24" x14ac:dyDescent="0.2">
      <c r="B25">
        <v>3</v>
      </c>
      <c r="C25">
        <v>12.5</v>
      </c>
      <c r="D25">
        <v>533</v>
      </c>
      <c r="E25">
        <v>566</v>
      </c>
      <c r="F25">
        <v>0.60226970031444005</v>
      </c>
      <c r="G25">
        <v>0.25630496651093698</v>
      </c>
      <c r="H25">
        <v>0.27878176109552399</v>
      </c>
      <c r="I25">
        <v>0.25257551028685499</v>
      </c>
      <c r="J25">
        <f t="shared" si="0"/>
        <v>0.85857466682537709</v>
      </c>
      <c r="K25">
        <f t="shared" si="1"/>
        <v>0.70147620653817155</v>
      </c>
      <c r="L25">
        <f t="shared" si="2"/>
        <v>0.29852379346182839</v>
      </c>
      <c r="M25">
        <f t="shared" si="3"/>
        <v>2.1603626361628212</v>
      </c>
      <c r="N25">
        <f t="shared" si="4"/>
        <v>1.0147657079652987</v>
      </c>
      <c r="P25">
        <v>0.28846082726420003</v>
      </c>
      <c r="Q25">
        <v>0.61676607124639005</v>
      </c>
      <c r="R25">
        <v>0.27878176109552399</v>
      </c>
      <c r="S25">
        <v>0.25257551028685499</v>
      </c>
      <c r="T25">
        <f t="shared" si="5"/>
        <v>0.90522689851059002</v>
      </c>
      <c r="U25">
        <f t="shared" si="6"/>
        <v>0.3186613519094687</v>
      </c>
      <c r="V25">
        <f t="shared" si="7"/>
        <v>0.68133864809053135</v>
      </c>
      <c r="W25">
        <f t="shared" si="8"/>
        <v>1.0347191513915415</v>
      </c>
      <c r="X25">
        <f t="shared" si="9"/>
        <v>2.4419076518777163</v>
      </c>
    </row>
  </sheetData>
  <phoneticPr fontId="5" type="noConversion"/>
  <conditionalFormatting sqref="F2:G25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L2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:Q2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:S2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I2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L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O2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V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X2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2268-8BA2-418D-947C-32666434AA96}">
  <sheetPr filterMode="1"/>
  <dimension ref="A1:Q107"/>
  <sheetViews>
    <sheetView workbookViewId="0">
      <selection activeCell="R104" sqref="R104"/>
    </sheetView>
  </sheetViews>
  <sheetFormatPr defaultRowHeight="14.25" x14ac:dyDescent="0.2"/>
  <sheetData>
    <row r="1" spans="1:17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</row>
    <row r="2" spans="1:17" hidden="1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 spans="1:17" hidden="1" x14ac:dyDescent="0.2">
      <c r="A3">
        <v>0</v>
      </c>
      <c r="B3">
        <v>0.4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0.6</v>
      </c>
      <c r="L3">
        <v>0</v>
      </c>
      <c r="M3">
        <v>0</v>
      </c>
      <c r="N3">
        <v>0</v>
      </c>
      <c r="O3">
        <v>2</v>
      </c>
    </row>
    <row r="4" spans="1:17" hidden="1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</row>
    <row r="5" spans="1:17" hidden="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</row>
    <row r="6" spans="1:17" x14ac:dyDescent="0.2">
      <c r="A6">
        <v>0.36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0.64</v>
      </c>
      <c r="N6">
        <v>0</v>
      </c>
      <c r="O6">
        <v>5</v>
      </c>
      <c r="Q6">
        <v>1</v>
      </c>
    </row>
    <row r="7" spans="1:17" hidden="1" x14ac:dyDescent="0.2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6</v>
      </c>
    </row>
    <row r="8" spans="1:17" x14ac:dyDescent="0.2">
      <c r="A8">
        <v>0.56000000000000005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0.44</v>
      </c>
      <c r="N8">
        <v>0</v>
      </c>
      <c r="O8">
        <v>7</v>
      </c>
      <c r="P8">
        <v>1</v>
      </c>
    </row>
    <row r="9" spans="1:17" hidden="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8</v>
      </c>
    </row>
    <row r="10" spans="1:17" hidden="1" x14ac:dyDescent="0.2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</v>
      </c>
    </row>
    <row r="11" spans="1:17" hidden="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</row>
    <row r="12" spans="1:17" x14ac:dyDescent="0.2">
      <c r="A12">
        <v>0.28000000000000003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0.72</v>
      </c>
      <c r="N12">
        <v>0</v>
      </c>
      <c r="O12">
        <v>11</v>
      </c>
      <c r="Q12">
        <v>1</v>
      </c>
    </row>
    <row r="13" spans="1:17" hidden="1" x14ac:dyDescent="0.2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12</v>
      </c>
    </row>
    <row r="14" spans="1:17" hidden="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13</v>
      </c>
    </row>
    <row r="15" spans="1:17" hidden="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14</v>
      </c>
    </row>
    <row r="16" spans="1:17" hidden="1" x14ac:dyDescent="0.2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</v>
      </c>
    </row>
    <row r="17" spans="1:15" hidden="1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16</v>
      </c>
    </row>
    <row r="18" spans="1:15" hidden="1" x14ac:dyDescent="0.2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17</v>
      </c>
    </row>
    <row r="19" spans="1:15" hidden="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0.12</v>
      </c>
      <c r="I19">
        <v>0</v>
      </c>
      <c r="J19">
        <v>0</v>
      </c>
      <c r="K19">
        <v>0</v>
      </c>
      <c r="L19">
        <v>0</v>
      </c>
      <c r="M19">
        <v>0.88</v>
      </c>
      <c r="N19">
        <v>0</v>
      </c>
      <c r="O19">
        <v>18</v>
      </c>
    </row>
    <row r="20" spans="1:15" hidden="1" x14ac:dyDescent="0.2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19</v>
      </c>
    </row>
    <row r="21" spans="1:15" hidden="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20</v>
      </c>
    </row>
    <row r="22" spans="1:15" hidden="1" x14ac:dyDescent="0.2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21</v>
      </c>
    </row>
    <row r="23" spans="1:15" hidden="1" x14ac:dyDescent="0.2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22</v>
      </c>
    </row>
    <row r="24" spans="1:15" hidden="1" x14ac:dyDescent="0.2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23</v>
      </c>
    </row>
    <row r="25" spans="1:15" hidden="1" x14ac:dyDescent="0.2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</v>
      </c>
    </row>
    <row r="26" spans="1:15" hidden="1" x14ac:dyDescent="0.2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25</v>
      </c>
    </row>
    <row r="27" spans="1:15" hidden="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26</v>
      </c>
    </row>
    <row r="28" spans="1:15" hidden="1" x14ac:dyDescent="0.2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27</v>
      </c>
    </row>
    <row r="29" spans="1:15" hidden="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28</v>
      </c>
    </row>
    <row r="30" spans="1:15" hidden="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29</v>
      </c>
    </row>
    <row r="31" spans="1:15" hidden="1" x14ac:dyDescent="0.2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30</v>
      </c>
    </row>
    <row r="32" spans="1:15" hidden="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31</v>
      </c>
    </row>
    <row r="33" spans="1:17" hidden="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32</v>
      </c>
    </row>
    <row r="34" spans="1:17" hidden="1" x14ac:dyDescent="0.2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33</v>
      </c>
    </row>
    <row r="35" spans="1:17" x14ac:dyDescent="0.2">
      <c r="A35">
        <v>0.5</v>
      </c>
      <c r="B35">
        <v>0</v>
      </c>
      <c r="C35">
        <v>0</v>
      </c>
      <c r="D35">
        <v>0</v>
      </c>
      <c r="E35">
        <v>0</v>
      </c>
      <c r="F35">
        <v>0</v>
      </c>
      <c r="G35">
        <v>0.5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34</v>
      </c>
    </row>
    <row r="36" spans="1:17" hidden="1" x14ac:dyDescent="0.2">
      <c r="A36">
        <v>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35</v>
      </c>
    </row>
    <row r="37" spans="1:17" hidden="1" x14ac:dyDescent="0.2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36</v>
      </c>
    </row>
    <row r="38" spans="1:17" hidden="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37</v>
      </c>
    </row>
    <row r="39" spans="1:17" hidden="1" x14ac:dyDescent="0.2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38</v>
      </c>
    </row>
    <row r="40" spans="1:17" hidden="1" x14ac:dyDescent="0.2">
      <c r="A40">
        <v>0</v>
      </c>
      <c r="B40">
        <v>0.41666666666666702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0.58333333333333304</v>
      </c>
      <c r="L40">
        <v>0</v>
      </c>
      <c r="M40">
        <v>0</v>
      </c>
      <c r="N40">
        <v>0</v>
      </c>
      <c r="O40">
        <v>39</v>
      </c>
    </row>
    <row r="41" spans="1:17" hidden="1" x14ac:dyDescent="0.2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40</v>
      </c>
    </row>
    <row r="42" spans="1:17" hidden="1" x14ac:dyDescent="0.2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41</v>
      </c>
    </row>
    <row r="43" spans="1:17" x14ac:dyDescent="0.2">
      <c r="A43">
        <v>0.29166666666666702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0.70833333333333304</v>
      </c>
      <c r="N43">
        <v>0</v>
      </c>
      <c r="O43">
        <v>42</v>
      </c>
      <c r="Q43">
        <v>1</v>
      </c>
    </row>
    <row r="44" spans="1:17" hidden="1" x14ac:dyDescent="0.2">
      <c r="A44">
        <v>0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43</v>
      </c>
    </row>
    <row r="45" spans="1:17" x14ac:dyDescent="0.2">
      <c r="A45">
        <v>0.5</v>
      </c>
      <c r="B45">
        <v>4.1666666666666699E-2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0.16666666666666699</v>
      </c>
      <c r="I45">
        <v>0</v>
      </c>
      <c r="J45">
        <v>0</v>
      </c>
      <c r="K45">
        <v>0</v>
      </c>
      <c r="L45">
        <v>0</v>
      </c>
      <c r="M45">
        <v>0.29166666666666702</v>
      </c>
      <c r="N45">
        <v>0</v>
      </c>
      <c r="O45">
        <v>44</v>
      </c>
      <c r="P45">
        <v>1</v>
      </c>
    </row>
    <row r="46" spans="1:17" x14ac:dyDescent="0.2">
      <c r="A46">
        <v>0.33333333333333298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0.66666666666666696</v>
      </c>
      <c r="N46">
        <v>0</v>
      </c>
      <c r="O46">
        <v>45</v>
      </c>
      <c r="Q46">
        <v>1</v>
      </c>
    </row>
    <row r="47" spans="1:17" x14ac:dyDescent="0.2">
      <c r="A47">
        <v>0.54166666666666696</v>
      </c>
      <c r="B47">
        <v>8.3333333333333301E-2</v>
      </c>
      <c r="C47">
        <v>0</v>
      </c>
      <c r="D47">
        <v>0</v>
      </c>
      <c r="E47">
        <v>0</v>
      </c>
      <c r="F47">
        <v>0</v>
      </c>
      <c r="G47">
        <v>0</v>
      </c>
      <c r="H47">
        <v>4.1666666666666699E-2</v>
      </c>
      <c r="I47">
        <v>0</v>
      </c>
      <c r="J47">
        <v>0</v>
      </c>
      <c r="K47">
        <v>0</v>
      </c>
      <c r="L47">
        <v>0</v>
      </c>
      <c r="M47">
        <v>0.33333333333333298</v>
      </c>
      <c r="N47">
        <v>0</v>
      </c>
      <c r="O47">
        <v>46</v>
      </c>
      <c r="P47">
        <v>1</v>
      </c>
    </row>
    <row r="48" spans="1:17" x14ac:dyDescent="0.2">
      <c r="A48">
        <v>4.1666666666666699E-2</v>
      </c>
      <c r="B48">
        <v>0.95833333333333304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47</v>
      </c>
    </row>
    <row r="49" spans="1:17" x14ac:dyDescent="0.2">
      <c r="A49">
        <v>0.375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0.625</v>
      </c>
      <c r="N49">
        <v>0</v>
      </c>
      <c r="O49">
        <v>48</v>
      </c>
      <c r="Q49">
        <v>1</v>
      </c>
    </row>
    <row r="50" spans="1:17" hidden="1" x14ac:dyDescent="0.2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49</v>
      </c>
    </row>
    <row r="51" spans="1:17" hidden="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50</v>
      </c>
    </row>
    <row r="52" spans="1:17" hidden="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51</v>
      </c>
    </row>
    <row r="53" spans="1:17" hidden="1" x14ac:dyDescent="0.2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52</v>
      </c>
    </row>
    <row r="54" spans="1:17" x14ac:dyDescent="0.2">
      <c r="A54">
        <v>0.29166666666666702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0.70833333333333304</v>
      </c>
      <c r="N54">
        <v>0</v>
      </c>
      <c r="O54">
        <v>53</v>
      </c>
      <c r="Q54">
        <v>1</v>
      </c>
    </row>
    <row r="55" spans="1:17" hidden="1" x14ac:dyDescent="0.2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54</v>
      </c>
    </row>
    <row r="56" spans="1:17" hidden="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55</v>
      </c>
    </row>
    <row r="57" spans="1:17" hidden="1" x14ac:dyDescent="0.2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56</v>
      </c>
    </row>
    <row r="58" spans="1:17" hidden="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57</v>
      </c>
    </row>
    <row r="59" spans="1:17" hidden="1" x14ac:dyDescent="0.2">
      <c r="A59">
        <v>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58</v>
      </c>
    </row>
    <row r="60" spans="1:17" hidden="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0.66666666666666696</v>
      </c>
      <c r="I60">
        <v>0</v>
      </c>
      <c r="J60">
        <v>0</v>
      </c>
      <c r="K60">
        <v>0</v>
      </c>
      <c r="L60">
        <v>0</v>
      </c>
      <c r="M60">
        <v>0.33333333333333298</v>
      </c>
      <c r="N60">
        <v>0</v>
      </c>
      <c r="O60">
        <v>59</v>
      </c>
    </row>
    <row r="61" spans="1:17" hidden="1" x14ac:dyDescent="0.2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60</v>
      </c>
    </row>
    <row r="62" spans="1:17" hidden="1" x14ac:dyDescent="0.2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61</v>
      </c>
    </row>
    <row r="63" spans="1:17" x14ac:dyDescent="0.2">
      <c r="A63">
        <v>0.66666666666666696</v>
      </c>
      <c r="B63">
        <v>0</v>
      </c>
      <c r="C63">
        <v>0</v>
      </c>
      <c r="D63">
        <v>0</v>
      </c>
      <c r="E63">
        <v>0</v>
      </c>
      <c r="F63">
        <v>0</v>
      </c>
      <c r="G63">
        <v>0.33333333333333298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62</v>
      </c>
    </row>
    <row r="64" spans="1:17" hidden="1" x14ac:dyDescent="0.2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63</v>
      </c>
    </row>
    <row r="65" spans="1:16" hidden="1" x14ac:dyDescent="0.2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64</v>
      </c>
    </row>
    <row r="66" spans="1:16" hidden="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65</v>
      </c>
    </row>
    <row r="67" spans="1:16" hidden="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66</v>
      </c>
    </row>
    <row r="68" spans="1:16" hidden="1" x14ac:dyDescent="0.2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67</v>
      </c>
    </row>
    <row r="69" spans="1:16" hidden="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68</v>
      </c>
    </row>
    <row r="70" spans="1:16" hidden="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69</v>
      </c>
    </row>
    <row r="71" spans="1:16" hidden="1" x14ac:dyDescent="0.2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70</v>
      </c>
    </row>
    <row r="72" spans="1:16" hidden="1" x14ac:dyDescent="0.2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71</v>
      </c>
    </row>
    <row r="73" spans="1:16" hidden="1" x14ac:dyDescent="0.2">
      <c r="A73">
        <v>0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72</v>
      </c>
    </row>
    <row r="74" spans="1:16" hidden="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73</v>
      </c>
    </row>
    <row r="75" spans="1:16" x14ac:dyDescent="0.2">
      <c r="A75">
        <v>0.54545454545454497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0.45454545454545497</v>
      </c>
      <c r="N75">
        <v>0</v>
      </c>
      <c r="O75">
        <v>74</v>
      </c>
      <c r="P75">
        <v>1</v>
      </c>
    </row>
    <row r="76" spans="1:16" hidden="1" x14ac:dyDescent="0.2">
      <c r="A76">
        <v>0</v>
      </c>
      <c r="B76">
        <v>0</v>
      </c>
      <c r="C76">
        <v>0.13636363636363599</v>
      </c>
      <c r="D76">
        <v>0.86363636363636398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75</v>
      </c>
    </row>
    <row r="77" spans="1:16" hidden="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0.5</v>
      </c>
      <c r="I77">
        <v>0</v>
      </c>
      <c r="J77">
        <v>0</v>
      </c>
      <c r="K77">
        <v>0</v>
      </c>
      <c r="L77">
        <v>0</v>
      </c>
      <c r="M77">
        <v>0.5</v>
      </c>
      <c r="N77">
        <v>0</v>
      </c>
      <c r="O77">
        <v>76</v>
      </c>
    </row>
    <row r="78" spans="1:16" x14ac:dyDescent="0.2">
      <c r="A78">
        <v>0.60227272727272696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0.13636363636363599</v>
      </c>
      <c r="I78">
        <v>0</v>
      </c>
      <c r="J78">
        <v>0</v>
      </c>
      <c r="K78">
        <v>0</v>
      </c>
      <c r="L78">
        <v>0</v>
      </c>
      <c r="M78">
        <v>0.26136363636363602</v>
      </c>
      <c r="N78">
        <v>0</v>
      </c>
      <c r="O78">
        <v>77</v>
      </c>
      <c r="P78">
        <v>1</v>
      </c>
    </row>
    <row r="79" spans="1:16" hidden="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0.60227272727272696</v>
      </c>
      <c r="K79">
        <v>0</v>
      </c>
      <c r="L79">
        <v>0</v>
      </c>
      <c r="M79">
        <v>0</v>
      </c>
      <c r="N79">
        <v>0.39772727272727298</v>
      </c>
      <c r="O79">
        <v>78</v>
      </c>
    </row>
    <row r="80" spans="1:16" hidden="1" x14ac:dyDescent="0.2">
      <c r="A80">
        <v>0</v>
      </c>
      <c r="B80">
        <v>0.25</v>
      </c>
      <c r="C80">
        <v>0</v>
      </c>
      <c r="D80">
        <v>0</v>
      </c>
      <c r="E80">
        <v>0</v>
      </c>
      <c r="F80">
        <v>0</v>
      </c>
      <c r="G80">
        <v>0</v>
      </c>
      <c r="H80">
        <v>1.13636363636364E-2</v>
      </c>
      <c r="I80">
        <v>0</v>
      </c>
      <c r="J80">
        <v>0</v>
      </c>
      <c r="K80">
        <v>0.25</v>
      </c>
      <c r="L80">
        <v>0</v>
      </c>
      <c r="M80">
        <v>9.0909090909090898E-2</v>
      </c>
      <c r="N80">
        <v>0.39772727272727298</v>
      </c>
      <c r="O80">
        <v>79</v>
      </c>
    </row>
    <row r="81" spans="1:15" hidden="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0.19318181818181801</v>
      </c>
      <c r="I81">
        <v>0</v>
      </c>
      <c r="J81">
        <v>0</v>
      </c>
      <c r="K81">
        <v>0</v>
      </c>
      <c r="L81">
        <v>0</v>
      </c>
      <c r="M81">
        <v>0.40909090909090901</v>
      </c>
      <c r="N81">
        <v>0.39772727272727298</v>
      </c>
      <c r="O81">
        <v>80</v>
      </c>
    </row>
    <row r="82" spans="1:15" hidden="1" x14ac:dyDescent="0.2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81</v>
      </c>
    </row>
    <row r="83" spans="1:15" hidden="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82</v>
      </c>
    </row>
    <row r="84" spans="1:15" x14ac:dyDescent="0.2">
      <c r="A84">
        <v>0.102272727272727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0.55681818181818199</v>
      </c>
      <c r="I84">
        <v>0</v>
      </c>
      <c r="J84">
        <v>0</v>
      </c>
      <c r="K84">
        <v>0</v>
      </c>
      <c r="L84">
        <v>0</v>
      </c>
      <c r="M84">
        <v>0.34090909090909099</v>
      </c>
      <c r="N84">
        <v>0</v>
      </c>
      <c r="O84">
        <v>83</v>
      </c>
    </row>
    <row r="85" spans="1:15" hidden="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0.90909090909090895</v>
      </c>
      <c r="I85">
        <v>0</v>
      </c>
      <c r="J85">
        <v>0</v>
      </c>
      <c r="K85">
        <v>0</v>
      </c>
      <c r="L85">
        <v>0</v>
      </c>
      <c r="M85">
        <v>9.0909090909090898E-2</v>
      </c>
      <c r="N85">
        <v>0</v>
      </c>
      <c r="O85">
        <v>84</v>
      </c>
    </row>
    <row r="86" spans="1:15" hidden="1" x14ac:dyDescent="0.2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85</v>
      </c>
    </row>
    <row r="87" spans="1:15" hidden="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86</v>
      </c>
    </row>
    <row r="88" spans="1:15" hidden="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0.48863636363636398</v>
      </c>
      <c r="I88">
        <v>0</v>
      </c>
      <c r="J88">
        <v>0</v>
      </c>
      <c r="K88">
        <v>0</v>
      </c>
      <c r="L88">
        <v>0</v>
      </c>
      <c r="M88">
        <v>0.51136363636363602</v>
      </c>
      <c r="N88">
        <v>0</v>
      </c>
      <c r="O88">
        <v>87</v>
      </c>
    </row>
    <row r="89" spans="1:15" hidden="1" x14ac:dyDescent="0.2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88</v>
      </c>
    </row>
    <row r="90" spans="1:15" hidden="1" x14ac:dyDescent="0.2">
      <c r="A90">
        <v>0</v>
      </c>
      <c r="B90">
        <v>0.95454545454545503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4.5454545454545497E-2</v>
      </c>
      <c r="N90">
        <v>0</v>
      </c>
      <c r="O90">
        <v>89</v>
      </c>
    </row>
    <row r="91" spans="1:15" hidden="1" x14ac:dyDescent="0.2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90</v>
      </c>
    </row>
    <row r="92" spans="1:15" hidden="1" x14ac:dyDescent="0.2">
      <c r="A92">
        <v>0</v>
      </c>
      <c r="B92">
        <v>0.88636363636363602</v>
      </c>
      <c r="C92">
        <v>0</v>
      </c>
      <c r="D92">
        <v>0</v>
      </c>
      <c r="E92">
        <v>0</v>
      </c>
      <c r="F92">
        <v>0.11363636363636399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91</v>
      </c>
    </row>
    <row r="93" spans="1:15" x14ac:dyDescent="0.2">
      <c r="A93">
        <v>6.8181818181818205E-2</v>
      </c>
      <c r="B93">
        <v>0.93181818181818199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92</v>
      </c>
    </row>
    <row r="94" spans="1:15" x14ac:dyDescent="0.2">
      <c r="A94">
        <v>2.27272727272727E-2</v>
      </c>
      <c r="B94">
        <v>0</v>
      </c>
      <c r="C94">
        <v>0</v>
      </c>
      <c r="D94">
        <v>0.72727272727272696</v>
      </c>
      <c r="E94">
        <v>0.25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93</v>
      </c>
    </row>
    <row r="95" spans="1:15" x14ac:dyDescent="0.2">
      <c r="A95">
        <v>0.97727272727272696</v>
      </c>
      <c r="B95">
        <v>0</v>
      </c>
      <c r="C95">
        <v>0</v>
      </c>
      <c r="D95">
        <v>2.27272727272727E-2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94</v>
      </c>
    </row>
    <row r="96" spans="1:15" hidden="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9.0909090909090898E-2</v>
      </c>
      <c r="I96">
        <v>0</v>
      </c>
      <c r="J96">
        <v>0</v>
      </c>
      <c r="K96">
        <v>0</v>
      </c>
      <c r="L96">
        <v>0</v>
      </c>
      <c r="M96">
        <v>0.90909090909090895</v>
      </c>
      <c r="N96">
        <v>0</v>
      </c>
      <c r="O96">
        <v>95</v>
      </c>
    </row>
    <row r="97" spans="1:16" x14ac:dyDescent="0.2">
      <c r="A97">
        <v>0.97727272727272696</v>
      </c>
      <c r="B97">
        <v>2.27272727272727E-2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96</v>
      </c>
    </row>
    <row r="98" spans="1:16" hidden="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97</v>
      </c>
    </row>
    <row r="99" spans="1:16" hidden="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0.97727272727272696</v>
      </c>
      <c r="I99">
        <v>0</v>
      </c>
      <c r="J99">
        <v>0</v>
      </c>
      <c r="K99">
        <v>0</v>
      </c>
      <c r="L99">
        <v>0</v>
      </c>
      <c r="M99">
        <v>2.27272727272727E-2</v>
      </c>
      <c r="N99">
        <v>0</v>
      </c>
      <c r="O99">
        <v>98</v>
      </c>
    </row>
    <row r="100" spans="1:16" hidden="1" x14ac:dyDescent="0.2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99</v>
      </c>
    </row>
    <row r="101" spans="1:16" hidden="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100</v>
      </c>
    </row>
    <row r="102" spans="1:16" hidden="1" x14ac:dyDescent="0.2">
      <c r="A102">
        <v>0</v>
      </c>
      <c r="B102">
        <v>2.27272727272727E-2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0.97727272727272696</v>
      </c>
      <c r="N102">
        <v>0</v>
      </c>
      <c r="O102">
        <v>101</v>
      </c>
    </row>
    <row r="103" spans="1:16" hidden="1" x14ac:dyDescent="0.2">
      <c r="A103">
        <v>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102</v>
      </c>
    </row>
    <row r="104" spans="1:16" x14ac:dyDescent="0.2">
      <c r="A104">
        <v>0.61363636363636398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2.27272727272727E-2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0.36363636363636398</v>
      </c>
      <c r="N104">
        <v>0</v>
      </c>
      <c r="O104">
        <v>103</v>
      </c>
      <c r="P104">
        <v>1</v>
      </c>
    </row>
    <row r="105" spans="1:16" hidden="1" x14ac:dyDescent="0.2">
      <c r="A105">
        <v>0</v>
      </c>
      <c r="B105">
        <v>0</v>
      </c>
      <c r="C105">
        <v>0</v>
      </c>
      <c r="D105">
        <v>0.63636363636363602</v>
      </c>
      <c r="E105">
        <v>0.36363636363636398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104</v>
      </c>
    </row>
    <row r="106" spans="1:16" hidden="1" x14ac:dyDescent="0.2">
      <c r="A106">
        <v>0</v>
      </c>
      <c r="B106">
        <v>0</v>
      </c>
      <c r="C106">
        <v>0</v>
      </c>
      <c r="D106">
        <v>0.90909090909090895</v>
      </c>
      <c r="E106">
        <v>9.0909090909090898E-2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105</v>
      </c>
    </row>
    <row r="107" spans="1:16" hidden="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0.97727272727272696</v>
      </c>
      <c r="J107">
        <v>0</v>
      </c>
      <c r="K107">
        <v>0</v>
      </c>
      <c r="L107">
        <v>2.27272727272727E-2</v>
      </c>
      <c r="M107">
        <v>0</v>
      </c>
      <c r="N107">
        <v>0</v>
      </c>
      <c r="O107">
        <v>106</v>
      </c>
    </row>
  </sheetData>
  <autoFilter ref="A1:P107" xr:uid="{9044B6ED-E3AE-4EB8-A50E-9C9E8D01AFB3}">
    <filterColumn colId="0">
      <filters>
        <filter val="0.022727273"/>
        <filter val="0.041666667"/>
        <filter val="0.068181818"/>
        <filter val="0.102272727"/>
        <filter val="0.28"/>
        <filter val="0.291666667"/>
        <filter val="0.333333333"/>
        <filter val="0.36"/>
        <filter val="0.375"/>
        <filter val="0.5"/>
        <filter val="0.541666667"/>
        <filter val="0.545454545"/>
        <filter val="0.56"/>
        <filter val="0.602272727"/>
        <filter val="0.613636364"/>
        <filter val="0.666666667"/>
        <filter val="0.977272727"/>
      </filters>
    </filterColumn>
  </autoFilter>
  <phoneticPr fontId="5" type="noConversion"/>
  <conditionalFormatting sqref="A2:N107 Q6 Q12 Q43 Q46 Q49 Q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4B79-8A92-4FCA-8E52-70ADA8D633C8}">
  <sheetPr filterMode="1"/>
  <dimension ref="A1:Z121"/>
  <sheetViews>
    <sheetView topLeftCell="A2" workbookViewId="0">
      <selection activeCell="C19" sqref="C19"/>
    </sheetView>
  </sheetViews>
  <sheetFormatPr defaultRowHeight="14.25" x14ac:dyDescent="0.2"/>
  <sheetData>
    <row r="1" spans="1:22" x14ac:dyDescent="0.2">
      <c r="E1">
        <v>46</v>
      </c>
      <c r="F1">
        <v>9</v>
      </c>
      <c r="G1" t="s">
        <v>310</v>
      </c>
      <c r="N1" t="s">
        <v>125</v>
      </c>
      <c r="O1" t="s">
        <v>126</v>
      </c>
      <c r="S1" t="s">
        <v>312</v>
      </c>
      <c r="T1" t="s">
        <v>313</v>
      </c>
    </row>
    <row r="2" spans="1:22" x14ac:dyDescent="0.2">
      <c r="A2">
        <v>2</v>
      </c>
      <c r="B2">
        <v>1</v>
      </c>
      <c r="C2" t="s">
        <v>209</v>
      </c>
      <c r="D2">
        <v>4</v>
      </c>
      <c r="E2" t="s">
        <v>51</v>
      </c>
      <c r="F2" t="s">
        <v>50</v>
      </c>
      <c r="G2">
        <v>-3</v>
      </c>
      <c r="H2" t="s">
        <v>209</v>
      </c>
      <c r="I2">
        <v>2</v>
      </c>
      <c r="J2">
        <v>1</v>
      </c>
      <c r="L2">
        <v>1</v>
      </c>
      <c r="M2">
        <v>5</v>
      </c>
      <c r="N2">
        <v>0.17928971990706599</v>
      </c>
      <c r="O2">
        <v>0.326689506352701</v>
      </c>
      <c r="S2">
        <v>0.14750779465403699</v>
      </c>
      <c r="T2">
        <v>0.474030893349075</v>
      </c>
      <c r="U2">
        <f t="shared" ref="U2:V25" si="0">N2/S2</f>
        <v>1.2154592937110202</v>
      </c>
      <c r="V2">
        <f t="shared" si="0"/>
        <v>0.68917345037283839</v>
      </c>
    </row>
    <row r="3" spans="1:22" x14ac:dyDescent="0.2">
      <c r="A3">
        <v>2</v>
      </c>
      <c r="B3">
        <v>2.5</v>
      </c>
      <c r="C3">
        <v>1.5</v>
      </c>
      <c r="D3">
        <v>41</v>
      </c>
      <c r="E3" t="s">
        <v>191</v>
      </c>
      <c r="F3" t="s">
        <v>47</v>
      </c>
      <c r="G3">
        <v>3</v>
      </c>
      <c r="I3">
        <v>2</v>
      </c>
      <c r="J3">
        <v>1.5</v>
      </c>
      <c r="K3" t="s">
        <v>314</v>
      </c>
      <c r="L3">
        <v>6</v>
      </c>
      <c r="M3">
        <v>12</v>
      </c>
      <c r="N3">
        <v>0.24893405458175599</v>
      </c>
      <c r="O3">
        <v>0.39891767455168098</v>
      </c>
      <c r="P3">
        <f>N3+O3</f>
        <v>0.64785172913343692</v>
      </c>
      <c r="Q3">
        <f>N3/$P3</f>
        <v>0.38424541200920909</v>
      </c>
      <c r="R3">
        <f>O3/$P3</f>
        <v>0.61575458799079097</v>
      </c>
      <c r="S3">
        <v>0.185031494016452</v>
      </c>
      <c r="T3">
        <v>0.43054395538703299</v>
      </c>
      <c r="U3">
        <f t="shared" si="0"/>
        <v>1.3453604528514596</v>
      </c>
      <c r="V3">
        <f t="shared" si="0"/>
        <v>0.92654343316253995</v>
      </c>
    </row>
    <row r="4" spans="1:22" x14ac:dyDescent="0.2">
      <c r="A4">
        <v>2</v>
      </c>
      <c r="B4">
        <v>2.5</v>
      </c>
      <c r="C4">
        <v>1.5</v>
      </c>
      <c r="D4">
        <v>51</v>
      </c>
      <c r="E4" t="s">
        <v>194</v>
      </c>
      <c r="F4" t="s">
        <v>210</v>
      </c>
      <c r="G4">
        <v>2</v>
      </c>
      <c r="H4">
        <v>1</v>
      </c>
      <c r="I4">
        <v>2</v>
      </c>
      <c r="J4">
        <v>2</v>
      </c>
      <c r="L4">
        <v>13</v>
      </c>
      <c r="M4">
        <v>18</v>
      </c>
      <c r="N4">
        <v>0.12151421589274899</v>
      </c>
      <c r="O4">
        <v>0.12871666142280799</v>
      </c>
      <c r="S4">
        <v>0.15897734492857901</v>
      </c>
      <c r="T4">
        <v>5.9882723403388703E-2</v>
      </c>
      <c r="U4">
        <f t="shared" si="0"/>
        <v>0.76434925962148614</v>
      </c>
      <c r="V4">
        <f t="shared" si="0"/>
        <v>2.1494790835702715</v>
      </c>
    </row>
    <row r="5" spans="1:22" x14ac:dyDescent="0.2">
      <c r="A5">
        <v>2</v>
      </c>
      <c r="B5">
        <v>3</v>
      </c>
      <c r="C5">
        <v>2</v>
      </c>
      <c r="D5">
        <v>58</v>
      </c>
      <c r="E5" t="s">
        <v>47</v>
      </c>
      <c r="F5" t="s">
        <v>191</v>
      </c>
      <c r="G5">
        <v>3</v>
      </c>
      <c r="I5">
        <v>2</v>
      </c>
      <c r="J5">
        <v>2.5</v>
      </c>
      <c r="K5">
        <v>1.5</v>
      </c>
      <c r="L5">
        <v>19</v>
      </c>
      <c r="M5">
        <v>55</v>
      </c>
      <c r="N5">
        <v>0.14542357109092099</v>
      </c>
      <c r="O5">
        <v>0.26805021403693002</v>
      </c>
      <c r="P5">
        <f>N5+O5</f>
        <v>0.41347378512785105</v>
      </c>
      <c r="Q5">
        <f>N5/$P5</f>
        <v>0.35171170778324989</v>
      </c>
      <c r="R5">
        <f>O5/$P5</f>
        <v>0.64828829221675011</v>
      </c>
      <c r="S5">
        <v>0.11951084391472799</v>
      </c>
      <c r="T5">
        <v>0.23978699459640901</v>
      </c>
      <c r="U5">
        <f t="shared" si="0"/>
        <v>1.2168232298207344</v>
      </c>
      <c r="V5">
        <f t="shared" si="0"/>
        <v>1.1178680248613628</v>
      </c>
    </row>
    <row r="6" spans="1:22" x14ac:dyDescent="0.2">
      <c r="A6">
        <v>2</v>
      </c>
      <c r="B6">
        <v>3</v>
      </c>
      <c r="C6">
        <v>2</v>
      </c>
      <c r="D6">
        <v>64</v>
      </c>
      <c r="E6" t="s">
        <v>47</v>
      </c>
      <c r="F6" t="s">
        <v>42</v>
      </c>
      <c r="G6">
        <v>0</v>
      </c>
      <c r="H6">
        <v>2</v>
      </c>
      <c r="I6">
        <v>2</v>
      </c>
      <c r="J6">
        <v>3</v>
      </c>
      <c r="L6">
        <v>56</v>
      </c>
      <c r="M6">
        <v>69</v>
      </c>
      <c r="N6">
        <v>1.2450823553084999E-2</v>
      </c>
      <c r="O6">
        <v>6.3002452683718999E-2</v>
      </c>
      <c r="S6">
        <v>9.5504910572460407E-3</v>
      </c>
      <c r="T6">
        <v>0.102776916707602</v>
      </c>
      <c r="U6">
        <f t="shared" si="0"/>
        <v>1.3036841224659805</v>
      </c>
      <c r="V6">
        <f t="shared" si="0"/>
        <v>0.61300197264099243</v>
      </c>
    </row>
    <row r="7" spans="1:22" x14ac:dyDescent="0.2">
      <c r="A7">
        <v>2</v>
      </c>
      <c r="B7">
        <v>3.5</v>
      </c>
      <c r="C7">
        <v>2.5</v>
      </c>
      <c r="D7">
        <v>87</v>
      </c>
      <c r="E7" t="s">
        <v>190</v>
      </c>
      <c r="F7" t="s">
        <v>192</v>
      </c>
      <c r="G7">
        <v>-1</v>
      </c>
      <c r="I7">
        <v>2</v>
      </c>
      <c r="J7">
        <v>3.5</v>
      </c>
      <c r="K7">
        <v>2.5</v>
      </c>
      <c r="L7">
        <v>70</v>
      </c>
      <c r="M7">
        <v>137</v>
      </c>
      <c r="N7">
        <v>0.33289988207529603</v>
      </c>
      <c r="O7">
        <v>0.47929557708321802</v>
      </c>
      <c r="P7">
        <f>N7+O7</f>
        <v>0.8121954591585141</v>
      </c>
      <c r="Q7">
        <f>N7/$P7</f>
        <v>0.40987656151168511</v>
      </c>
      <c r="R7">
        <f>O7/$P7</f>
        <v>0.59012343848831483</v>
      </c>
      <c r="S7">
        <v>0.30618407421122501</v>
      </c>
      <c r="T7">
        <v>0.33536201370240498</v>
      </c>
      <c r="U7">
        <f t="shared" si="0"/>
        <v>1.0872540739843992</v>
      </c>
      <c r="V7">
        <f t="shared" si="0"/>
        <v>1.4291886304945003</v>
      </c>
    </row>
    <row r="8" spans="1:22" x14ac:dyDescent="0.2">
      <c r="A8">
        <v>2</v>
      </c>
      <c r="B8">
        <v>3.5</v>
      </c>
      <c r="C8">
        <v>2.5</v>
      </c>
      <c r="D8">
        <v>101</v>
      </c>
      <c r="E8" t="s">
        <v>191</v>
      </c>
      <c r="F8" t="s">
        <v>190</v>
      </c>
      <c r="G8">
        <v>-1</v>
      </c>
      <c r="H8">
        <v>3</v>
      </c>
      <c r="I8">
        <v>2</v>
      </c>
      <c r="J8">
        <v>4</v>
      </c>
      <c r="L8">
        <v>138</v>
      </c>
      <c r="M8">
        <v>153</v>
      </c>
      <c r="N8">
        <v>9.3885861923378392E-3</v>
      </c>
      <c r="O8">
        <v>5.4710199630407901E-2</v>
      </c>
      <c r="S8">
        <v>6.8162534447084103E-3</v>
      </c>
      <c r="T8">
        <v>7.5355203140508795E-2</v>
      </c>
      <c r="U8">
        <f t="shared" si="0"/>
        <v>1.3773822039475925</v>
      </c>
      <c r="V8">
        <f t="shared" si="0"/>
        <v>0.72603081605916697</v>
      </c>
    </row>
    <row r="9" spans="1:22" x14ac:dyDescent="0.2">
      <c r="A9">
        <v>2</v>
      </c>
      <c r="B9">
        <v>3.5</v>
      </c>
      <c r="C9">
        <v>2.5</v>
      </c>
      <c r="D9">
        <v>104</v>
      </c>
      <c r="E9" t="s">
        <v>199</v>
      </c>
      <c r="F9" t="s">
        <v>43</v>
      </c>
      <c r="G9">
        <v>-1</v>
      </c>
      <c r="I9">
        <v>2</v>
      </c>
      <c r="J9">
        <v>4.5</v>
      </c>
      <c r="K9">
        <v>3.5</v>
      </c>
      <c r="L9">
        <v>154</v>
      </c>
      <c r="M9">
        <v>187</v>
      </c>
      <c r="N9">
        <v>0.121169150566867</v>
      </c>
      <c r="O9">
        <v>0.34633790075320597</v>
      </c>
      <c r="P9">
        <f>N9+O9</f>
        <v>0.46750705132007297</v>
      </c>
      <c r="Q9">
        <f>N9/$P9</f>
        <v>0.25918143956273726</v>
      </c>
      <c r="R9">
        <f>O9/$P9</f>
        <v>0.74081856043726269</v>
      </c>
      <c r="S9">
        <v>7.3036948463227599E-2</v>
      </c>
      <c r="T9">
        <v>0.29006514102967401</v>
      </c>
      <c r="U9">
        <f t="shared" si="0"/>
        <v>1.6590116799289998</v>
      </c>
      <c r="V9">
        <f t="shared" si="0"/>
        <v>1.1940004218492948</v>
      </c>
    </row>
    <row r="10" spans="1:22" x14ac:dyDescent="0.2">
      <c r="A10">
        <v>2</v>
      </c>
      <c r="B10">
        <v>3.5</v>
      </c>
      <c r="C10">
        <v>2.5</v>
      </c>
      <c r="D10">
        <v>105</v>
      </c>
      <c r="E10" t="s">
        <v>192</v>
      </c>
      <c r="F10" t="s">
        <v>45</v>
      </c>
      <c r="G10">
        <v>1</v>
      </c>
      <c r="H10">
        <v>4</v>
      </c>
      <c r="I10">
        <v>2</v>
      </c>
      <c r="J10">
        <v>5</v>
      </c>
      <c r="L10">
        <v>188</v>
      </c>
      <c r="M10">
        <v>191</v>
      </c>
      <c r="N10">
        <v>6.6807823129251695E-2</v>
      </c>
      <c r="O10">
        <v>0.169619047619048</v>
      </c>
      <c r="S10">
        <v>1.6564139941691002E-2</v>
      </c>
      <c r="T10">
        <v>3.5999999999999997E-2</v>
      </c>
      <c r="U10">
        <f t="shared" si="0"/>
        <v>4.0332805303763575</v>
      </c>
      <c r="V10">
        <f t="shared" si="0"/>
        <v>4.7116402116402227</v>
      </c>
    </row>
    <row r="11" spans="1:22" x14ac:dyDescent="0.2">
      <c r="A11">
        <v>2</v>
      </c>
      <c r="B11">
        <v>3.5</v>
      </c>
      <c r="C11">
        <v>2.5</v>
      </c>
      <c r="D11">
        <v>119</v>
      </c>
      <c r="E11" t="s">
        <v>190</v>
      </c>
      <c r="F11" t="s">
        <v>42</v>
      </c>
      <c r="G11">
        <v>0</v>
      </c>
      <c r="I11">
        <v>2</v>
      </c>
      <c r="J11">
        <v>5.5</v>
      </c>
      <c r="K11">
        <v>4.5</v>
      </c>
      <c r="L11">
        <v>192</v>
      </c>
      <c r="M11">
        <v>276</v>
      </c>
      <c r="N11">
        <v>0.12845660375021001</v>
      </c>
      <c r="O11">
        <v>0.281105815151654</v>
      </c>
      <c r="P11">
        <f>N11+O11</f>
        <v>0.40956241890186401</v>
      </c>
      <c r="Q11">
        <f>N11/$P11</f>
        <v>0.31364353227191416</v>
      </c>
      <c r="R11">
        <f>O11/$P11</f>
        <v>0.68635646772808589</v>
      </c>
      <c r="S11">
        <v>0.101803430148903</v>
      </c>
      <c r="T11">
        <v>0.18970151057020601</v>
      </c>
      <c r="U11">
        <f t="shared" si="0"/>
        <v>1.2618101724305624</v>
      </c>
      <c r="V11">
        <f t="shared" si="0"/>
        <v>1.4818322442805245</v>
      </c>
    </row>
    <row r="12" spans="1:22" x14ac:dyDescent="0.2">
      <c r="A12">
        <v>2</v>
      </c>
      <c r="B12">
        <v>3.5</v>
      </c>
      <c r="C12">
        <v>2.5</v>
      </c>
      <c r="D12">
        <v>122</v>
      </c>
      <c r="E12" t="s">
        <v>190</v>
      </c>
      <c r="F12" t="s">
        <v>42</v>
      </c>
      <c r="G12">
        <v>0</v>
      </c>
      <c r="H12">
        <v>5</v>
      </c>
      <c r="I12">
        <v>2</v>
      </c>
      <c r="J12">
        <v>6</v>
      </c>
      <c r="L12">
        <v>277</v>
      </c>
      <c r="M12">
        <v>283</v>
      </c>
      <c r="N12">
        <v>1.29198966408269E-3</v>
      </c>
      <c r="O12">
        <v>3.7304242131648797E-2</v>
      </c>
      <c r="S12">
        <v>0</v>
      </c>
      <c r="T12">
        <v>6.3942839079093997E-2</v>
      </c>
      <c r="U12" t="e">
        <f t="shared" si="0"/>
        <v>#DIV/0!</v>
      </c>
      <c r="V12">
        <f t="shared" si="0"/>
        <v>0.58339984068435513</v>
      </c>
    </row>
    <row r="13" spans="1:22" x14ac:dyDescent="0.2">
      <c r="A13">
        <v>2</v>
      </c>
      <c r="B13">
        <v>3.5</v>
      </c>
      <c r="C13">
        <v>2.5</v>
      </c>
      <c r="D13">
        <v>129</v>
      </c>
      <c r="E13" t="s">
        <v>47</v>
      </c>
      <c r="F13" t="s">
        <v>191</v>
      </c>
      <c r="G13">
        <v>3</v>
      </c>
      <c r="I13">
        <v>2</v>
      </c>
      <c r="J13">
        <v>6.5</v>
      </c>
      <c r="K13" t="s">
        <v>222</v>
      </c>
      <c r="L13">
        <v>284</v>
      </c>
      <c r="M13">
        <v>303</v>
      </c>
      <c r="N13">
        <v>4.96220422843026E-2</v>
      </c>
      <c r="O13">
        <v>0.35235181349085498</v>
      </c>
      <c r="P13">
        <f>N13+O13</f>
        <v>0.4019738557751576</v>
      </c>
      <c r="Q13">
        <f>N13/$P13</f>
        <v>0.12344594448465446</v>
      </c>
      <c r="R13">
        <f>O13/$P13</f>
        <v>0.87655405551534549</v>
      </c>
      <c r="S13">
        <v>3.0695549926629099E-2</v>
      </c>
      <c r="T13">
        <v>0.38768849574911401</v>
      </c>
      <c r="U13">
        <f t="shared" si="0"/>
        <v>1.6165874989343108</v>
      </c>
      <c r="V13">
        <f t="shared" si="0"/>
        <v>0.9088528995683004</v>
      </c>
    </row>
    <row r="14" spans="1:22" x14ac:dyDescent="0.2">
      <c r="A14">
        <v>2</v>
      </c>
      <c r="B14">
        <v>3.5</v>
      </c>
      <c r="C14">
        <v>2.5</v>
      </c>
      <c r="D14">
        <v>132</v>
      </c>
      <c r="E14" t="s">
        <v>42</v>
      </c>
      <c r="F14" t="s">
        <v>43</v>
      </c>
      <c r="G14">
        <v>0</v>
      </c>
      <c r="H14" t="s">
        <v>208</v>
      </c>
      <c r="I14">
        <v>2</v>
      </c>
      <c r="J14">
        <v>7</v>
      </c>
      <c r="L14">
        <v>304</v>
      </c>
      <c r="M14">
        <v>308</v>
      </c>
      <c r="N14">
        <v>3.0434803230957101E-2</v>
      </c>
      <c r="O14">
        <v>0.123546902622544</v>
      </c>
      <c r="S14">
        <v>1.7322485207100599E-2</v>
      </c>
      <c r="T14">
        <v>0.136967455621302</v>
      </c>
      <c r="U14">
        <f t="shared" si="0"/>
        <v>1.7569536280210922</v>
      </c>
      <c r="V14">
        <f t="shared" si="0"/>
        <v>0.90201648312819538</v>
      </c>
    </row>
    <row r="15" spans="1:22" x14ac:dyDescent="0.2">
      <c r="A15">
        <v>2</v>
      </c>
      <c r="B15">
        <v>5.5</v>
      </c>
      <c r="C15">
        <v>4.5</v>
      </c>
      <c r="D15">
        <v>201</v>
      </c>
      <c r="E15" t="s">
        <v>188</v>
      </c>
      <c r="F15" t="s">
        <v>42</v>
      </c>
      <c r="G15">
        <v>1</v>
      </c>
      <c r="I15">
        <v>2</v>
      </c>
      <c r="J15">
        <v>7.5</v>
      </c>
      <c r="K15" t="s">
        <v>309</v>
      </c>
      <c r="L15">
        <v>309</v>
      </c>
      <c r="M15">
        <v>337</v>
      </c>
      <c r="N15">
        <v>0.110861148367669</v>
      </c>
      <c r="O15">
        <v>0.180184516491431</v>
      </c>
      <c r="P15">
        <f>N15+O15</f>
        <v>0.2910456648591</v>
      </c>
      <c r="Q15">
        <f>N15/$P15</f>
        <v>0.3809063722743945</v>
      </c>
      <c r="R15">
        <f>O15/$P15</f>
        <v>0.6190936277256055</v>
      </c>
      <c r="S15">
        <v>0.13533371468460301</v>
      </c>
      <c r="T15">
        <v>0.16273238751065799</v>
      </c>
      <c r="U15">
        <f t="shared" si="0"/>
        <v>0.81916873874357443</v>
      </c>
      <c r="V15">
        <f t="shared" si="0"/>
        <v>1.1072443491289035</v>
      </c>
    </row>
    <row r="16" spans="1:22" x14ac:dyDescent="0.2">
      <c r="A16">
        <v>2</v>
      </c>
      <c r="B16">
        <v>5.5</v>
      </c>
      <c r="C16">
        <v>4.5</v>
      </c>
      <c r="D16">
        <v>242</v>
      </c>
      <c r="E16" t="s">
        <v>192</v>
      </c>
      <c r="F16" t="s">
        <v>195</v>
      </c>
      <c r="G16">
        <v>2</v>
      </c>
      <c r="H16">
        <v>6</v>
      </c>
      <c r="I16">
        <v>2</v>
      </c>
      <c r="J16">
        <v>8</v>
      </c>
      <c r="L16">
        <v>338</v>
      </c>
      <c r="M16">
        <v>352</v>
      </c>
      <c r="N16">
        <v>5.5074497128390397E-3</v>
      </c>
      <c r="O16">
        <v>0.103752957152072</v>
      </c>
      <c r="S16">
        <v>4.12753169181741E-3</v>
      </c>
      <c r="T16">
        <v>8.9235258135244896E-2</v>
      </c>
      <c r="U16">
        <f t="shared" si="0"/>
        <v>1.334320393894791</v>
      </c>
      <c r="V16">
        <f t="shared" si="0"/>
        <v>1.1626901666471798</v>
      </c>
    </row>
    <row r="17" spans="1:22" x14ac:dyDescent="0.2">
      <c r="A17">
        <v>2</v>
      </c>
      <c r="B17">
        <v>5.5</v>
      </c>
      <c r="C17">
        <v>4.5</v>
      </c>
      <c r="D17">
        <v>248</v>
      </c>
      <c r="E17" t="s">
        <v>210</v>
      </c>
      <c r="F17" t="s">
        <v>196</v>
      </c>
      <c r="G17">
        <v>1</v>
      </c>
      <c r="I17">
        <v>2</v>
      </c>
      <c r="J17">
        <v>8.5</v>
      </c>
      <c r="K17">
        <v>6.5</v>
      </c>
      <c r="L17">
        <v>353</v>
      </c>
      <c r="M17">
        <v>386</v>
      </c>
      <c r="N17">
        <v>0.26365137835469898</v>
      </c>
      <c r="O17">
        <v>0.40570636987683101</v>
      </c>
      <c r="P17">
        <f>N17+O17</f>
        <v>0.66935774823153005</v>
      </c>
      <c r="Q17">
        <f>N17/$P17</f>
        <v>0.39388709408575084</v>
      </c>
      <c r="R17">
        <f>O17/$P17</f>
        <v>0.60611290591424904</v>
      </c>
      <c r="S17">
        <v>0.257181213119616</v>
      </c>
      <c r="T17">
        <v>0.38111427906935702</v>
      </c>
      <c r="U17">
        <f t="shared" si="0"/>
        <v>1.0251580010709167</v>
      </c>
      <c r="V17">
        <f t="shared" si="0"/>
        <v>1.064526815598527</v>
      </c>
    </row>
    <row r="18" spans="1:22" x14ac:dyDescent="0.2">
      <c r="A18">
        <v>2</v>
      </c>
      <c r="B18">
        <v>5.5</v>
      </c>
      <c r="C18">
        <v>4.5</v>
      </c>
      <c r="D18">
        <v>268</v>
      </c>
      <c r="E18" t="s">
        <v>194</v>
      </c>
      <c r="F18" t="s">
        <v>189</v>
      </c>
      <c r="G18">
        <v>3</v>
      </c>
      <c r="H18">
        <v>7</v>
      </c>
      <c r="I18">
        <v>2</v>
      </c>
      <c r="J18">
        <v>9</v>
      </c>
      <c r="L18">
        <v>387</v>
      </c>
      <c r="M18">
        <v>392</v>
      </c>
      <c r="N18">
        <v>1.1009325920388301E-2</v>
      </c>
      <c r="O18">
        <v>6.4623999572336305E-2</v>
      </c>
      <c r="S18">
        <v>1.7011429067594799E-2</v>
      </c>
      <c r="T18">
        <v>1.9886363636363601E-2</v>
      </c>
      <c r="U18">
        <f t="shared" si="0"/>
        <v>0.64717231436834721</v>
      </c>
      <c r="V18">
        <f t="shared" si="0"/>
        <v>3.2496639784946315</v>
      </c>
    </row>
    <row r="19" spans="1:22" x14ac:dyDescent="0.2">
      <c r="A19">
        <v>2</v>
      </c>
      <c r="B19">
        <v>7.5</v>
      </c>
      <c r="C19" t="s">
        <v>309</v>
      </c>
      <c r="D19">
        <v>329</v>
      </c>
      <c r="E19" t="s">
        <v>197</v>
      </c>
      <c r="F19" t="s">
        <v>188</v>
      </c>
      <c r="G19">
        <v>-1</v>
      </c>
      <c r="I19">
        <v>2</v>
      </c>
      <c r="J19">
        <v>9.5</v>
      </c>
      <c r="K19">
        <v>7.5</v>
      </c>
      <c r="L19">
        <v>393</v>
      </c>
      <c r="M19">
        <v>404</v>
      </c>
      <c r="N19">
        <v>0.13305402626955501</v>
      </c>
      <c r="O19">
        <v>0.383311029269787</v>
      </c>
      <c r="P19">
        <f>N19+O19</f>
        <v>0.51636505553934198</v>
      </c>
      <c r="Q19">
        <f>N19/$P19</f>
        <v>0.25767434268103295</v>
      </c>
      <c r="R19">
        <f>O19/$P19</f>
        <v>0.74232565731896716</v>
      </c>
      <c r="S19">
        <v>8.4353772037324207E-2</v>
      </c>
      <c r="T19">
        <v>0.30125195481976402</v>
      </c>
      <c r="U19">
        <f t="shared" si="0"/>
        <v>1.5773334500167022</v>
      </c>
      <c r="V19">
        <f t="shared" si="0"/>
        <v>1.2723935003147717</v>
      </c>
    </row>
    <row r="20" spans="1:22" x14ac:dyDescent="0.2">
      <c r="A20">
        <v>2</v>
      </c>
      <c r="B20">
        <v>8.5</v>
      </c>
      <c r="C20">
        <v>6.5</v>
      </c>
      <c r="D20">
        <v>364</v>
      </c>
      <c r="E20" t="s">
        <v>192</v>
      </c>
      <c r="F20" t="s">
        <v>45</v>
      </c>
      <c r="G20">
        <v>1</v>
      </c>
      <c r="H20">
        <v>8</v>
      </c>
      <c r="I20">
        <v>2</v>
      </c>
      <c r="J20">
        <v>10</v>
      </c>
      <c r="L20">
        <v>405</v>
      </c>
      <c r="M20">
        <v>414</v>
      </c>
      <c r="N20">
        <v>7.3164757951919004E-3</v>
      </c>
      <c r="O20">
        <v>1.8906261929510702E-2</v>
      </c>
      <c r="S20">
        <v>9.3224257677878807E-3</v>
      </c>
      <c r="T20">
        <v>2.3378767730496498E-2</v>
      </c>
      <c r="U20">
        <f t="shared" si="0"/>
        <v>0.7848253209451973</v>
      </c>
      <c r="V20">
        <f t="shared" si="0"/>
        <v>0.80869368939614283</v>
      </c>
    </row>
    <row r="21" spans="1:22" x14ac:dyDescent="0.2">
      <c r="A21">
        <v>2</v>
      </c>
      <c r="B21">
        <v>8.5</v>
      </c>
      <c r="C21">
        <v>6.5</v>
      </c>
      <c r="D21">
        <v>375</v>
      </c>
      <c r="E21" t="s">
        <v>197</v>
      </c>
      <c r="F21" t="s">
        <v>189</v>
      </c>
      <c r="G21">
        <v>-2</v>
      </c>
      <c r="I21">
        <v>2</v>
      </c>
      <c r="J21">
        <v>10.5</v>
      </c>
      <c r="K21">
        <v>8.5</v>
      </c>
      <c r="L21">
        <v>415</v>
      </c>
      <c r="M21">
        <v>505</v>
      </c>
      <c r="N21">
        <v>0.26458416035587401</v>
      </c>
      <c r="O21">
        <v>0.42671731037666699</v>
      </c>
      <c r="P21">
        <f>N21+O21</f>
        <v>0.691301470732541</v>
      </c>
      <c r="Q21">
        <f>N21/$P21</f>
        <v>0.38273339716101878</v>
      </c>
      <c r="R21">
        <f>O21/$P21</f>
        <v>0.61726660283898127</v>
      </c>
      <c r="S21">
        <v>0.23038528544259301</v>
      </c>
      <c r="T21">
        <v>0.324166691995176</v>
      </c>
      <c r="U21">
        <f t="shared" si="0"/>
        <v>1.1484420971052103</v>
      </c>
      <c r="V21">
        <f t="shared" si="0"/>
        <v>1.3163514972815809</v>
      </c>
    </row>
    <row r="22" spans="1:22" hidden="1" x14ac:dyDescent="0.2">
      <c r="A22">
        <v>2</v>
      </c>
      <c r="B22">
        <v>8.5</v>
      </c>
      <c r="C22">
        <v>6.5</v>
      </c>
      <c r="D22">
        <v>379</v>
      </c>
      <c r="E22" t="s">
        <v>190</v>
      </c>
      <c r="F22" t="s">
        <v>42</v>
      </c>
      <c r="G22">
        <v>0</v>
      </c>
      <c r="H22">
        <v>9</v>
      </c>
      <c r="I22">
        <v>2</v>
      </c>
      <c r="J22">
        <v>11</v>
      </c>
      <c r="L22">
        <v>506</v>
      </c>
      <c r="M22">
        <v>512</v>
      </c>
      <c r="N22">
        <v>6.0524886995161897E-3</v>
      </c>
      <c r="O22">
        <v>4.0647582240446602E-2</v>
      </c>
      <c r="S22">
        <v>5.6067919089592697E-3</v>
      </c>
      <c r="T22">
        <v>6.0380608974358999E-2</v>
      </c>
      <c r="U22">
        <f t="shared" si="0"/>
        <v>1.0794923010866031</v>
      </c>
      <c r="V22">
        <f t="shared" si="0"/>
        <v>0.67318933894336597</v>
      </c>
    </row>
    <row r="23" spans="1:22" x14ac:dyDescent="0.2">
      <c r="A23">
        <v>2</v>
      </c>
      <c r="B23">
        <v>9.5</v>
      </c>
      <c r="C23">
        <v>7.5</v>
      </c>
      <c r="D23">
        <v>398</v>
      </c>
      <c r="E23" t="s">
        <v>199</v>
      </c>
      <c r="F23" t="s">
        <v>196</v>
      </c>
      <c r="G23">
        <v>1</v>
      </c>
      <c r="I23">
        <v>2</v>
      </c>
      <c r="J23">
        <v>11.5</v>
      </c>
      <c r="K23">
        <v>9.5</v>
      </c>
      <c r="L23">
        <v>513</v>
      </c>
      <c r="M23">
        <v>526</v>
      </c>
      <c r="N23">
        <v>6.9628413793440896E-2</v>
      </c>
      <c r="O23">
        <v>0.28750956137033401</v>
      </c>
      <c r="P23">
        <f>N23+O23</f>
        <v>0.35713797516377488</v>
      </c>
      <c r="Q23">
        <f>N23/$P23</f>
        <v>0.19496222366582827</v>
      </c>
      <c r="R23">
        <f>O23/$P23</f>
        <v>0.80503777633417184</v>
      </c>
      <c r="S23">
        <v>6.7094079174779303E-2</v>
      </c>
      <c r="T23">
        <v>0.27970922415822103</v>
      </c>
      <c r="U23">
        <f t="shared" si="0"/>
        <v>1.0377728504486914</v>
      </c>
      <c r="V23">
        <f t="shared" si="0"/>
        <v>1.0278873077410584</v>
      </c>
    </row>
    <row r="24" spans="1:22" hidden="1" x14ac:dyDescent="0.2">
      <c r="A24">
        <v>2</v>
      </c>
      <c r="B24">
        <v>10.5</v>
      </c>
      <c r="C24">
        <v>8.5</v>
      </c>
      <c r="D24">
        <v>429</v>
      </c>
      <c r="E24" t="s">
        <v>42</v>
      </c>
      <c r="F24" t="s">
        <v>47</v>
      </c>
      <c r="G24">
        <v>0</v>
      </c>
      <c r="H24">
        <v>10</v>
      </c>
      <c r="I24">
        <v>2</v>
      </c>
      <c r="J24">
        <v>12</v>
      </c>
      <c r="L24">
        <v>527</v>
      </c>
      <c r="M24">
        <v>532</v>
      </c>
      <c r="N24">
        <v>3.3944850234980999E-2</v>
      </c>
      <c r="O24">
        <v>8.3288035785063094E-2</v>
      </c>
      <c r="S24">
        <v>2.9216716413081299E-2</v>
      </c>
      <c r="T24">
        <v>0.101901683087028</v>
      </c>
      <c r="U24">
        <f t="shared" si="0"/>
        <v>1.1618297468836285</v>
      </c>
      <c r="V24">
        <f t="shared" si="0"/>
        <v>0.81733719465587107</v>
      </c>
    </row>
    <row r="25" spans="1:22" x14ac:dyDescent="0.2">
      <c r="A25">
        <v>2</v>
      </c>
      <c r="B25">
        <v>10.5</v>
      </c>
      <c r="C25">
        <v>8.5</v>
      </c>
      <c r="D25">
        <v>437</v>
      </c>
      <c r="E25" t="s">
        <v>47</v>
      </c>
      <c r="F25" t="s">
        <v>42</v>
      </c>
      <c r="G25">
        <v>0</v>
      </c>
      <c r="I25">
        <v>3</v>
      </c>
      <c r="J25">
        <v>12.5</v>
      </c>
      <c r="K25">
        <v>10.5</v>
      </c>
      <c r="L25">
        <v>533</v>
      </c>
      <c r="M25">
        <v>566</v>
      </c>
      <c r="N25">
        <v>0.32285334733261001</v>
      </c>
      <c r="O25">
        <v>0.52607816832621002</v>
      </c>
      <c r="P25">
        <f t="shared" ref="P25" si="1">N25+O25</f>
        <v>0.84893151565881997</v>
      </c>
      <c r="Q25">
        <f>N25/$P25</f>
        <v>0.38030552686226654</v>
      </c>
      <c r="R25">
        <f>O25/$P25</f>
        <v>0.61969447313773351</v>
      </c>
      <c r="S25">
        <v>0.27878176109552399</v>
      </c>
      <c r="T25">
        <v>0.44074519864495199</v>
      </c>
      <c r="U25">
        <f t="shared" si="0"/>
        <v>1.1580863327066255</v>
      </c>
      <c r="V25">
        <f t="shared" si="0"/>
        <v>1.1936106619961142</v>
      </c>
    </row>
    <row r="26" spans="1:22" x14ac:dyDescent="0.2">
      <c r="A26">
        <v>2</v>
      </c>
      <c r="B26">
        <v>10.5</v>
      </c>
      <c r="C26">
        <v>8.5</v>
      </c>
      <c r="D26">
        <v>444</v>
      </c>
      <c r="E26" t="s">
        <v>191</v>
      </c>
      <c r="F26" t="s">
        <v>47</v>
      </c>
      <c r="G26">
        <v>3</v>
      </c>
      <c r="N26">
        <f>MIN(N1:N25)</f>
        <v>1.29198966408269E-3</v>
      </c>
      <c r="O26">
        <f>MIN(O1:O25)</f>
        <v>1.8906261929510702E-2</v>
      </c>
    </row>
    <row r="27" spans="1:22" x14ac:dyDescent="0.2">
      <c r="A27">
        <v>2</v>
      </c>
      <c r="B27">
        <v>10.5</v>
      </c>
      <c r="C27">
        <v>8.5</v>
      </c>
      <c r="D27">
        <v>487</v>
      </c>
      <c r="E27" t="s">
        <v>198</v>
      </c>
      <c r="F27" t="s">
        <v>51</v>
      </c>
      <c r="G27">
        <v>2</v>
      </c>
    </row>
    <row r="28" spans="1:22" x14ac:dyDescent="0.2">
      <c r="A28">
        <v>2</v>
      </c>
      <c r="B28">
        <v>10.5</v>
      </c>
      <c r="C28">
        <v>8.5</v>
      </c>
      <c r="D28">
        <v>490</v>
      </c>
      <c r="E28" t="s">
        <v>196</v>
      </c>
      <c r="F28" t="s">
        <v>199</v>
      </c>
      <c r="G28">
        <v>1</v>
      </c>
    </row>
    <row r="29" spans="1:22" x14ac:dyDescent="0.2">
      <c r="A29">
        <v>2</v>
      </c>
      <c r="B29">
        <v>10.5</v>
      </c>
      <c r="C29">
        <v>8.5</v>
      </c>
      <c r="D29">
        <v>498</v>
      </c>
      <c r="E29" t="s">
        <v>42</v>
      </c>
      <c r="F29" t="s">
        <v>47</v>
      </c>
      <c r="G29">
        <v>0</v>
      </c>
    </row>
    <row r="30" spans="1:22" x14ac:dyDescent="0.2">
      <c r="A30">
        <v>2</v>
      </c>
      <c r="B30">
        <v>10.5</v>
      </c>
      <c r="C30">
        <v>8.5</v>
      </c>
      <c r="D30">
        <v>504</v>
      </c>
      <c r="E30" t="s">
        <v>191</v>
      </c>
      <c r="F30" t="s">
        <v>47</v>
      </c>
      <c r="G30">
        <v>3</v>
      </c>
    </row>
    <row r="31" spans="1:22" x14ac:dyDescent="0.2">
      <c r="A31">
        <v>3</v>
      </c>
      <c r="B31">
        <v>0.5</v>
      </c>
      <c r="C31">
        <v>12.5</v>
      </c>
      <c r="D31">
        <v>533</v>
      </c>
      <c r="E31" t="s">
        <v>188</v>
      </c>
      <c r="F31" t="s">
        <v>43</v>
      </c>
      <c r="G31">
        <v>0</v>
      </c>
    </row>
    <row r="32" spans="1:22" x14ac:dyDescent="0.2">
      <c r="A32">
        <v>3</v>
      </c>
      <c r="B32">
        <v>0.5</v>
      </c>
      <c r="C32">
        <v>12.5</v>
      </c>
      <c r="D32">
        <v>538</v>
      </c>
      <c r="E32" t="s">
        <v>195</v>
      </c>
      <c r="F32" t="s">
        <v>197</v>
      </c>
      <c r="G32">
        <v>-3</v>
      </c>
    </row>
    <row r="33" spans="1:23" x14ac:dyDescent="0.2">
      <c r="A33">
        <v>3</v>
      </c>
      <c r="B33">
        <v>0.5</v>
      </c>
      <c r="C33">
        <v>12.5</v>
      </c>
      <c r="D33">
        <v>565</v>
      </c>
      <c r="E33" t="s">
        <v>50</v>
      </c>
      <c r="F33" t="s">
        <v>195</v>
      </c>
      <c r="G33">
        <v>-2</v>
      </c>
    </row>
    <row r="34" spans="1:23" x14ac:dyDescent="0.2">
      <c r="A34" t="s">
        <v>311</v>
      </c>
    </row>
    <row r="46" spans="1:23" x14ac:dyDescent="0.2">
      <c r="F46">
        <v>7</v>
      </c>
      <c r="G46">
        <v>44</v>
      </c>
      <c r="H46">
        <v>46</v>
      </c>
      <c r="I46">
        <v>74</v>
      </c>
      <c r="J46">
        <v>77</v>
      </c>
      <c r="K46">
        <v>103</v>
      </c>
      <c r="R46">
        <v>0.56000000000000005</v>
      </c>
      <c r="S46">
        <v>0.5</v>
      </c>
      <c r="T46">
        <v>0.54166666666666696</v>
      </c>
      <c r="U46">
        <v>0.54545454545454497</v>
      </c>
      <c r="V46">
        <v>0.60227272727272696</v>
      </c>
      <c r="W46">
        <v>0.61363636363636398</v>
      </c>
    </row>
    <row r="47" spans="1:23" x14ac:dyDescent="0.2">
      <c r="F47" t="s">
        <v>315</v>
      </c>
      <c r="G47" t="s">
        <v>316</v>
      </c>
      <c r="H47" t="s">
        <v>317</v>
      </c>
      <c r="I47" t="s">
        <v>318</v>
      </c>
      <c r="J47" t="s">
        <v>319</v>
      </c>
      <c r="K47" t="s">
        <v>320</v>
      </c>
      <c r="L47" t="s">
        <v>321</v>
      </c>
      <c r="M47" t="s">
        <v>322</v>
      </c>
      <c r="N47" t="s">
        <v>323</v>
      </c>
      <c r="O47" t="s">
        <v>324</v>
      </c>
      <c r="P47" t="s">
        <v>325</v>
      </c>
      <c r="Q47" t="s">
        <v>326</v>
      </c>
      <c r="R47" t="s">
        <v>327</v>
      </c>
    </row>
    <row r="48" spans="1:23" hidden="1" x14ac:dyDescent="0.2">
      <c r="A48" t="s">
        <v>209</v>
      </c>
      <c r="B48">
        <v>2</v>
      </c>
      <c r="C48">
        <v>1</v>
      </c>
      <c r="D48">
        <v>1</v>
      </c>
      <c r="E48">
        <v>5</v>
      </c>
      <c r="F48">
        <v>0.24625326448243101</v>
      </c>
      <c r="G48">
        <v>0.22169912979436801</v>
      </c>
      <c r="H48">
        <v>0.130520396534682</v>
      </c>
      <c r="I48">
        <v>0.124038277046519</v>
      </c>
      <c r="J48">
        <v>0.130520396534682</v>
      </c>
      <c r="K48">
        <v>0.22270685504971199</v>
      </c>
      <c r="L48">
        <v>0.35920589826839799</v>
      </c>
      <c r="M48">
        <v>0.499130190796858</v>
      </c>
      <c r="N48">
        <v>0.224818181818182</v>
      </c>
      <c r="O48">
        <v>0.26379662004662002</v>
      </c>
      <c r="P48">
        <v>0.224818181818182</v>
      </c>
      <c r="Q48">
        <v>0.38836796536796497</v>
      </c>
      <c r="R48">
        <f>F48/(F48+L48)</f>
        <v>0.406721509281666</v>
      </c>
      <c r="S48">
        <f t="shared" ref="S48:W63" si="2">G48/(G48+M48)</f>
        <v>0.30756119855464514</v>
      </c>
      <c r="T48">
        <f t="shared" si="2"/>
        <v>0.3673127672759206</v>
      </c>
      <c r="U48">
        <f t="shared" si="2"/>
        <v>0.31982237280914683</v>
      </c>
      <c r="V48">
        <f t="shared" si="2"/>
        <v>0.3673127672759206</v>
      </c>
      <c r="W48">
        <f t="shared" si="2"/>
        <v>0.36445104201395367</v>
      </c>
    </row>
    <row r="49" spans="1:26" x14ac:dyDescent="0.2">
      <c r="B49">
        <v>2</v>
      </c>
      <c r="C49">
        <v>1.5</v>
      </c>
      <c r="D49">
        <v>6</v>
      </c>
      <c r="E49">
        <v>12</v>
      </c>
      <c r="F49">
        <v>0.365246117548779</v>
      </c>
      <c r="G49">
        <v>0.23625022009712299</v>
      </c>
      <c r="H49">
        <v>0.230849964471005</v>
      </c>
      <c r="I49">
        <v>0.21924052683796899</v>
      </c>
      <c r="J49">
        <v>0.25585396578133701</v>
      </c>
      <c r="K49">
        <v>0.18616353275432199</v>
      </c>
      <c r="L49">
        <v>0.47238337408134001</v>
      </c>
      <c r="M49">
        <v>0.34676671481600801</v>
      </c>
      <c r="N49">
        <v>0.39327407639885198</v>
      </c>
      <c r="O49">
        <v>0.42522831594350702</v>
      </c>
      <c r="P49">
        <v>0.35252558204853801</v>
      </c>
      <c r="Q49">
        <v>0.403327984021839</v>
      </c>
      <c r="R49">
        <f t="shared" ref="R49:W71" si="3">F49/(F49+L49)</f>
        <v>0.43604734694568825</v>
      </c>
      <c r="S49">
        <f t="shared" si="2"/>
        <v>0.40522016763084945</v>
      </c>
      <c r="T49">
        <f t="shared" si="2"/>
        <v>0.36987834044858098</v>
      </c>
      <c r="U49">
        <f t="shared" si="2"/>
        <v>0.3401879381658614</v>
      </c>
      <c r="V49">
        <f t="shared" si="2"/>
        <v>0.4205499127871456</v>
      </c>
      <c r="W49">
        <f t="shared" si="2"/>
        <v>0.31580358233553879</v>
      </c>
      <c r="X49">
        <f>CORREL($R$46:$W$46,R49:W49)</f>
        <v>-0.24959194403618634</v>
      </c>
      <c r="Y49">
        <f>CORREL($R$46:$W$46,F49:K49)</f>
        <v>-0.12014648199211118</v>
      </c>
      <c r="Z49">
        <f>CORREL($R$46:$W$46,L49:Q49)</f>
        <v>0.11423954312351121</v>
      </c>
    </row>
    <row r="50" spans="1:26" hidden="1" x14ac:dyDescent="0.2">
      <c r="A50">
        <v>1</v>
      </c>
      <c r="B50">
        <v>2</v>
      </c>
      <c r="C50">
        <v>2</v>
      </c>
      <c r="D50">
        <v>13</v>
      </c>
      <c r="E50">
        <v>18</v>
      </c>
      <c r="F50">
        <v>0.10259692106188199</v>
      </c>
      <c r="G50">
        <v>0.10259692106188199</v>
      </c>
      <c r="H50">
        <v>0.15961005825913399</v>
      </c>
      <c r="I50">
        <v>0.121494624940194</v>
      </c>
      <c r="J50">
        <v>0.1112338885598</v>
      </c>
      <c r="K50">
        <v>0.131552881473604</v>
      </c>
      <c r="L50">
        <v>6.8571149843912604E-2</v>
      </c>
      <c r="M50">
        <v>6.8571149843912604E-2</v>
      </c>
      <c r="N50">
        <v>0.110385928335777</v>
      </c>
      <c r="O50">
        <v>0.18445511304512299</v>
      </c>
      <c r="P50">
        <v>0.110730672969967</v>
      </c>
      <c r="Q50">
        <v>0.229585954498155</v>
      </c>
      <c r="R50">
        <f t="shared" si="3"/>
        <v>0.59939286876901265</v>
      </c>
      <c r="S50">
        <f t="shared" si="2"/>
        <v>0.59939286876901265</v>
      </c>
      <c r="T50">
        <f t="shared" si="2"/>
        <v>0.59115715115649203</v>
      </c>
      <c r="U50">
        <f t="shared" si="2"/>
        <v>0.397106484680254</v>
      </c>
      <c r="V50">
        <f t="shared" si="2"/>
        <v>0.50113354939717591</v>
      </c>
      <c r="W50">
        <f t="shared" si="2"/>
        <v>0.36427231959038436</v>
      </c>
    </row>
    <row r="51" spans="1:26" x14ac:dyDescent="0.2">
      <c r="B51">
        <v>2</v>
      </c>
      <c r="C51">
        <v>2.5</v>
      </c>
      <c r="D51">
        <v>19</v>
      </c>
      <c r="E51">
        <v>55</v>
      </c>
      <c r="F51">
        <v>0.14451171833256499</v>
      </c>
      <c r="G51">
        <v>0.135345605385706</v>
      </c>
      <c r="H51">
        <v>0.12245768582446501</v>
      </c>
      <c r="I51">
        <v>0.20760745293732499</v>
      </c>
      <c r="J51">
        <v>0.14066862603217301</v>
      </c>
      <c r="K51">
        <v>0.121950338033292</v>
      </c>
      <c r="L51">
        <v>0.26619105072405003</v>
      </c>
      <c r="M51">
        <v>0.235107310307444</v>
      </c>
      <c r="N51">
        <v>0.240355714521511</v>
      </c>
      <c r="O51">
        <v>0.28706916613861799</v>
      </c>
      <c r="P51">
        <v>0.29412353578648798</v>
      </c>
      <c r="Q51">
        <v>0.28545450674346901</v>
      </c>
      <c r="R51">
        <f t="shared" si="3"/>
        <v>0.35186448502528644</v>
      </c>
      <c r="S51">
        <f t="shared" si="2"/>
        <v>0.36535170773986886</v>
      </c>
      <c r="T51">
        <f t="shared" si="2"/>
        <v>0.33752249974143822</v>
      </c>
      <c r="U51">
        <f t="shared" si="2"/>
        <v>0.41968317266568245</v>
      </c>
      <c r="V51">
        <f t="shared" si="2"/>
        <v>0.32353073119759174</v>
      </c>
      <c r="W51">
        <f t="shared" si="2"/>
        <v>0.29933453074205624</v>
      </c>
      <c r="X51">
        <f>CORREL($R$46:$W$46,R51:W51)</f>
        <v>-0.63967168478478731</v>
      </c>
      <c r="Y51">
        <f>CORREL($R$46:$W$46,F51:K51)</f>
        <v>-0.200314116526466</v>
      </c>
      <c r="Z51">
        <f>CORREL($R$46:$W$46,L51:Q51)</f>
        <v>0.79916913567353498</v>
      </c>
    </row>
    <row r="52" spans="1:26" hidden="1" x14ac:dyDescent="0.2">
      <c r="A52">
        <v>2</v>
      </c>
      <c r="B52">
        <v>2</v>
      </c>
      <c r="C52">
        <v>3</v>
      </c>
      <c r="D52">
        <v>56</v>
      </c>
      <c r="E52">
        <v>69</v>
      </c>
      <c r="F52">
        <v>1.44886867297826E-2</v>
      </c>
      <c r="G52">
        <v>1.44886867297826E-2</v>
      </c>
      <c r="H52">
        <v>2.6409680956145199E-2</v>
      </c>
      <c r="I52">
        <v>5.3945954640268797E-3</v>
      </c>
      <c r="J52">
        <v>4.0468498415580402E-3</v>
      </c>
      <c r="K52">
        <v>9.8764415972147201E-3</v>
      </c>
      <c r="L52">
        <v>5.8932149977490501E-2</v>
      </c>
      <c r="M52">
        <v>5.8932149977490501E-2</v>
      </c>
      <c r="N52">
        <v>9.3067056541395701E-2</v>
      </c>
      <c r="O52">
        <v>5.6245655581075103E-2</v>
      </c>
      <c r="P52">
        <v>5.9227989441622497E-2</v>
      </c>
      <c r="Q52">
        <v>5.1609714583239701E-2</v>
      </c>
      <c r="R52">
        <f t="shared" si="3"/>
        <v>0.19733753222601647</v>
      </c>
      <c r="S52">
        <f t="shared" si="2"/>
        <v>0.19733753222601647</v>
      </c>
      <c r="T52">
        <f t="shared" si="2"/>
        <v>0.22104454397818463</v>
      </c>
      <c r="U52">
        <f t="shared" si="2"/>
        <v>8.7517415529013182E-2</v>
      </c>
      <c r="V52">
        <f t="shared" si="2"/>
        <v>6.3956698861718925E-2</v>
      </c>
      <c r="W52">
        <f t="shared" si="2"/>
        <v>0.16062870426033074</v>
      </c>
    </row>
    <row r="53" spans="1:26" x14ac:dyDescent="0.2">
      <c r="B53">
        <v>2</v>
      </c>
      <c r="C53">
        <v>3.5</v>
      </c>
      <c r="D53">
        <v>70</v>
      </c>
      <c r="E53">
        <v>137</v>
      </c>
      <c r="F53">
        <v>0.3503916061024</v>
      </c>
      <c r="G53">
        <v>0.33929691641788701</v>
      </c>
      <c r="H53">
        <v>0.25043564038215699</v>
      </c>
      <c r="I53">
        <v>0.367552183834992</v>
      </c>
      <c r="J53">
        <v>0.33117482797542103</v>
      </c>
      <c r="K53">
        <v>0.35854811773891898</v>
      </c>
      <c r="L53">
        <v>0.45875211935501398</v>
      </c>
      <c r="M53">
        <v>0.44918076986686001</v>
      </c>
      <c r="N53">
        <v>0.46370845462521598</v>
      </c>
      <c r="O53">
        <v>0.50537237546220304</v>
      </c>
      <c r="P53">
        <v>0.44129217343682098</v>
      </c>
      <c r="Q53">
        <v>0.557467569753197</v>
      </c>
      <c r="R53">
        <f t="shared" si="3"/>
        <v>0.43304000893576905</v>
      </c>
      <c r="S53">
        <f t="shared" si="2"/>
        <v>0.43031898342821961</v>
      </c>
      <c r="T53">
        <f t="shared" si="2"/>
        <v>0.35067942468889479</v>
      </c>
      <c r="U53">
        <f t="shared" si="2"/>
        <v>0.42105836056544671</v>
      </c>
      <c r="V53">
        <f t="shared" si="2"/>
        <v>0.42872359255471049</v>
      </c>
      <c r="W53">
        <f t="shared" si="2"/>
        <v>0.39142137261923798</v>
      </c>
      <c r="X53">
        <f>CORREL($R$46:$W$46,R53:W53)</f>
        <v>-7.2603568618374983E-2</v>
      </c>
      <c r="Y53">
        <f>CORREL($R$46:$W$46,F53:K53)</f>
        <v>0.21627296245897509</v>
      </c>
      <c r="Z53">
        <f>CORREL($R$46:$W$46,L53:Q53)</f>
        <v>0.46257561824952476</v>
      </c>
    </row>
    <row r="54" spans="1:26" hidden="1" x14ac:dyDescent="0.2">
      <c r="A54">
        <v>3</v>
      </c>
      <c r="B54">
        <v>2</v>
      </c>
      <c r="C54">
        <v>4</v>
      </c>
      <c r="D54">
        <v>138</v>
      </c>
      <c r="E54">
        <v>153</v>
      </c>
      <c r="F54">
        <v>2.7214820557841398E-3</v>
      </c>
      <c r="G54">
        <v>2.7214820557841398E-3</v>
      </c>
      <c r="H54">
        <v>2.7214820557841398E-3</v>
      </c>
      <c r="I54">
        <v>2.3387100366310299E-2</v>
      </c>
      <c r="J54">
        <v>1.6456863704570699E-2</v>
      </c>
      <c r="K54">
        <v>8.3231069157936096E-3</v>
      </c>
      <c r="L54">
        <v>3.89024757456247E-2</v>
      </c>
      <c r="M54">
        <v>3.89024757456247E-2</v>
      </c>
      <c r="N54">
        <v>3.89024757456247E-2</v>
      </c>
      <c r="O54">
        <v>9.0171565828046502E-2</v>
      </c>
      <c r="P54">
        <v>6.7801792558391999E-2</v>
      </c>
      <c r="Q54">
        <v>5.3580412159135199E-2</v>
      </c>
      <c r="R54">
        <f t="shared" si="3"/>
        <v>6.5382587325514399E-2</v>
      </c>
      <c r="S54">
        <f t="shared" si="2"/>
        <v>6.5382587325514399E-2</v>
      </c>
      <c r="T54">
        <f t="shared" si="2"/>
        <v>6.5382587325514399E-2</v>
      </c>
      <c r="U54">
        <f t="shared" si="2"/>
        <v>0.20594729711145993</v>
      </c>
      <c r="V54">
        <f t="shared" si="2"/>
        <v>0.19531362633188099</v>
      </c>
      <c r="W54">
        <f t="shared" si="2"/>
        <v>0.13445288798071744</v>
      </c>
    </row>
    <row r="55" spans="1:26" x14ac:dyDescent="0.2">
      <c r="B55">
        <v>2</v>
      </c>
      <c r="C55">
        <v>4.5</v>
      </c>
      <c r="D55">
        <v>154</v>
      </c>
      <c r="E55">
        <v>187</v>
      </c>
      <c r="F55">
        <v>0.13707302533291299</v>
      </c>
      <c r="G55">
        <v>0.143238403690886</v>
      </c>
      <c r="H55">
        <v>5.9066521513461097E-2</v>
      </c>
      <c r="I55">
        <v>0.104749412128123</v>
      </c>
      <c r="J55">
        <v>9.9488910152048096E-2</v>
      </c>
      <c r="K55">
        <v>0.18339863058377201</v>
      </c>
      <c r="L55">
        <v>0.32578372666431799</v>
      </c>
      <c r="M55">
        <v>0.32857481884631201</v>
      </c>
      <c r="N55">
        <v>0.319945983903203</v>
      </c>
      <c r="O55">
        <v>0.302336164412289</v>
      </c>
      <c r="P55">
        <v>0.37795638669185699</v>
      </c>
      <c r="Q55">
        <v>0.42343032400125802</v>
      </c>
      <c r="R55">
        <f t="shared" si="3"/>
        <v>0.29614567518231433</v>
      </c>
      <c r="S55">
        <f t="shared" si="2"/>
        <v>0.30359132989239823</v>
      </c>
      <c r="T55">
        <f t="shared" si="2"/>
        <v>0.15584319954964765</v>
      </c>
      <c r="U55">
        <f t="shared" si="2"/>
        <v>0.25731545936441297</v>
      </c>
      <c r="V55">
        <f t="shared" si="2"/>
        <v>0.20837761060734625</v>
      </c>
      <c r="W55">
        <f t="shared" si="2"/>
        <v>0.30222458766685933</v>
      </c>
      <c r="X55">
        <f>CORREL($R$46:$W$46,R55:W55)</f>
        <v>-4.4582688119726828E-2</v>
      </c>
      <c r="Y55">
        <f>CORREL($R$46:$W$46,F55:K55)</f>
        <v>0.27472455075031044</v>
      </c>
      <c r="Z55">
        <f>CORREL($R$46:$W$46,L55:Q55)</f>
        <v>0.80371802994533381</v>
      </c>
    </row>
    <row r="56" spans="1:26" hidden="1" x14ac:dyDescent="0.2">
      <c r="A56">
        <v>4</v>
      </c>
      <c r="B56">
        <v>2</v>
      </c>
      <c r="C56">
        <v>5</v>
      </c>
      <c r="D56">
        <v>188</v>
      </c>
      <c r="E56">
        <v>191</v>
      </c>
      <c r="F56">
        <v>0.16564030612244901</v>
      </c>
      <c r="G56">
        <v>0.16564030612244901</v>
      </c>
      <c r="H56">
        <v>8.4566326530612305E-3</v>
      </c>
      <c r="I56">
        <v>2.6326530612244901E-2</v>
      </c>
      <c r="J56">
        <v>8.4566326530612305E-3</v>
      </c>
      <c r="K56">
        <v>2.6326530612244901E-2</v>
      </c>
      <c r="L56">
        <v>3.5999999999999997E-2</v>
      </c>
      <c r="M56">
        <v>3.5999999999999997E-2</v>
      </c>
      <c r="N56">
        <v>0.23</v>
      </c>
      <c r="O56">
        <v>0.24285714285714299</v>
      </c>
      <c r="P56">
        <v>0.23</v>
      </c>
      <c r="Q56">
        <v>0.24285714285714299</v>
      </c>
      <c r="R56">
        <f t="shared" si="3"/>
        <v>0.82146426628543956</v>
      </c>
      <c r="S56">
        <f t="shared" si="2"/>
        <v>0.82146426628543956</v>
      </c>
      <c r="T56">
        <f t="shared" si="2"/>
        <v>3.5464027814923797E-2</v>
      </c>
      <c r="U56">
        <f t="shared" si="2"/>
        <v>9.7801364670204671E-2</v>
      </c>
      <c r="V56">
        <f t="shared" si="2"/>
        <v>3.5464027814923797E-2</v>
      </c>
      <c r="W56">
        <f t="shared" si="2"/>
        <v>9.7801364670204671E-2</v>
      </c>
    </row>
    <row r="57" spans="1:26" x14ac:dyDescent="0.2">
      <c r="B57">
        <v>2</v>
      </c>
      <c r="C57">
        <v>5.5</v>
      </c>
      <c r="D57">
        <v>192</v>
      </c>
      <c r="E57">
        <v>276</v>
      </c>
      <c r="F57">
        <v>0.14514390282560899</v>
      </c>
      <c r="G57">
        <v>0.14339818994172901</v>
      </c>
      <c r="H57">
        <v>0.100252650575695</v>
      </c>
      <c r="I57">
        <v>9.4211414532243798E-2</v>
      </c>
      <c r="J57">
        <v>0.12034607426968701</v>
      </c>
      <c r="K57">
        <v>0.16738739035629399</v>
      </c>
      <c r="L57">
        <v>0.26881272175994297</v>
      </c>
      <c r="M57">
        <v>0.25437809148766899</v>
      </c>
      <c r="N57">
        <v>0.308027429800458</v>
      </c>
      <c r="O57">
        <v>0.25977454688511098</v>
      </c>
      <c r="P57">
        <v>0.28930493994693701</v>
      </c>
      <c r="Q57">
        <v>0.30633716102980801</v>
      </c>
      <c r="R57">
        <f t="shared" si="3"/>
        <v>0.35062587286995395</v>
      </c>
      <c r="S57">
        <f t="shared" si="2"/>
        <v>0.3604995989867259</v>
      </c>
      <c r="T57">
        <f t="shared" si="2"/>
        <v>0.24554871862308619</v>
      </c>
      <c r="U57">
        <f t="shared" si="2"/>
        <v>0.26614449385230599</v>
      </c>
      <c r="V57">
        <f t="shared" si="2"/>
        <v>0.29377706900060996</v>
      </c>
      <c r="W57">
        <f t="shared" si="2"/>
        <v>0.35334328750013938</v>
      </c>
      <c r="X57">
        <f>CORREL($R$46:$W$46,R57:W57)</f>
        <v>4.0513065094532265E-2</v>
      </c>
      <c r="Y57">
        <f>CORREL($R$46:$W$46,F57:K57)</f>
        <v>0.31199462846450082</v>
      </c>
      <c r="Z57">
        <f>CORREL($R$46:$W$46,L57:Q57)</f>
        <v>0.63402919535537439</v>
      </c>
    </row>
    <row r="58" spans="1:26" hidden="1" x14ac:dyDescent="0.2">
      <c r="A58">
        <v>5</v>
      </c>
      <c r="B58">
        <v>2</v>
      </c>
      <c r="C58">
        <v>6</v>
      </c>
      <c r="D58">
        <v>277</v>
      </c>
      <c r="E58">
        <v>283</v>
      </c>
      <c r="F58">
        <v>0</v>
      </c>
      <c r="G58">
        <v>0</v>
      </c>
      <c r="H58">
        <v>0</v>
      </c>
      <c r="I58">
        <v>0</v>
      </c>
      <c r="J58">
        <v>7.75193798449613E-3</v>
      </c>
      <c r="K58">
        <v>0</v>
      </c>
      <c r="L58">
        <v>3.0212573589105701E-2</v>
      </c>
      <c r="M58">
        <v>3.0212573589105701E-2</v>
      </c>
      <c r="N58">
        <v>3.0212573589105701E-2</v>
      </c>
      <c r="O58">
        <v>3.0212573589105701E-2</v>
      </c>
      <c r="P58">
        <v>7.2762584844364195E-2</v>
      </c>
      <c r="Q58">
        <v>3.0212573589105701E-2</v>
      </c>
      <c r="R58">
        <f t="shared" si="3"/>
        <v>0</v>
      </c>
      <c r="S58">
        <f t="shared" si="2"/>
        <v>0</v>
      </c>
      <c r="T58">
        <f t="shared" si="2"/>
        <v>0</v>
      </c>
      <c r="U58">
        <f t="shared" si="2"/>
        <v>0</v>
      </c>
      <c r="V58">
        <f t="shared" si="2"/>
        <v>9.6279996603512857E-2</v>
      </c>
      <c r="W58">
        <f t="shared" si="2"/>
        <v>0</v>
      </c>
    </row>
    <row r="59" spans="1:26" x14ac:dyDescent="0.2">
      <c r="B59">
        <v>2</v>
      </c>
      <c r="C59">
        <v>6.5</v>
      </c>
      <c r="D59">
        <v>284</v>
      </c>
      <c r="E59">
        <v>303</v>
      </c>
      <c r="F59">
        <v>2.7564291685158001E-2</v>
      </c>
      <c r="G59">
        <v>3.0044447417962899E-2</v>
      </c>
      <c r="H59">
        <v>5.4760442319753001E-2</v>
      </c>
      <c r="I59">
        <v>8.0617739324168103E-2</v>
      </c>
      <c r="J59">
        <v>4.3901568913057298E-2</v>
      </c>
      <c r="K59">
        <v>6.0843764045716203E-2</v>
      </c>
      <c r="L59">
        <v>0.31123137794271399</v>
      </c>
      <c r="M59">
        <v>0.32656596976896402</v>
      </c>
      <c r="N59">
        <v>0.39823241106099699</v>
      </c>
      <c r="O59">
        <v>0.372232546623461</v>
      </c>
      <c r="P59">
        <v>0.34740948565725599</v>
      </c>
      <c r="Q59">
        <v>0.35843908989173701</v>
      </c>
      <c r="R59">
        <f t="shared" si="3"/>
        <v>8.1359634010181411E-2</v>
      </c>
      <c r="S59">
        <f t="shared" si="2"/>
        <v>8.4250055438549618E-2</v>
      </c>
      <c r="T59">
        <f t="shared" si="2"/>
        <v>0.12088588575088556</v>
      </c>
      <c r="U59">
        <f t="shared" si="2"/>
        <v>0.1780229400881759</v>
      </c>
      <c r="V59">
        <f t="shared" si="2"/>
        <v>0.11219097544091687</v>
      </c>
      <c r="W59">
        <f t="shared" si="2"/>
        <v>0.14511388546976597</v>
      </c>
      <c r="X59">
        <f>CORREL($R$46:$W$46,R59:W59)</f>
        <v>0.29660923223474261</v>
      </c>
      <c r="Y59">
        <f>CORREL($R$46:$W$46,F59:K59)</f>
        <v>0.23485631428786588</v>
      </c>
      <c r="Z59">
        <f>CORREL($R$46:$W$46,L59:Q59)</f>
        <v>8.1191155149300656E-2</v>
      </c>
    </row>
    <row r="60" spans="1:26" hidden="1" x14ac:dyDescent="0.2">
      <c r="A60" t="s">
        <v>208</v>
      </c>
      <c r="B60">
        <v>2</v>
      </c>
      <c r="C60">
        <v>7</v>
      </c>
      <c r="D60">
        <v>304</v>
      </c>
      <c r="E60">
        <v>308</v>
      </c>
      <c r="F60">
        <v>4.5389010989010999E-2</v>
      </c>
      <c r="G60">
        <v>4.5389010989010999E-2</v>
      </c>
      <c r="H60">
        <v>1.02176669484362E-2</v>
      </c>
      <c r="I60">
        <v>1.2381656804733699E-2</v>
      </c>
      <c r="J60">
        <v>4.9816849816849799E-2</v>
      </c>
      <c r="K60">
        <v>1.94146238377008E-2</v>
      </c>
      <c r="L60">
        <v>0.16036923076923101</v>
      </c>
      <c r="M60">
        <v>0.16036923076923101</v>
      </c>
      <c r="N60">
        <v>9.4408284023668701E-2</v>
      </c>
      <c r="O60">
        <v>7.8121301775147894E-2</v>
      </c>
      <c r="P60">
        <v>0.183190883190883</v>
      </c>
      <c r="Q60">
        <v>6.48224852071006E-2</v>
      </c>
      <c r="R60">
        <f t="shared" si="3"/>
        <v>0.22059389019440268</v>
      </c>
      <c r="S60">
        <f t="shared" si="2"/>
        <v>0.22059389019440268</v>
      </c>
      <c r="T60">
        <f t="shared" si="2"/>
        <v>9.7659011492859993E-2</v>
      </c>
      <c r="U60">
        <f t="shared" si="2"/>
        <v>0.13680941484145123</v>
      </c>
      <c r="V60">
        <f t="shared" si="2"/>
        <v>0.21379912663755468</v>
      </c>
      <c r="W60">
        <f t="shared" si="2"/>
        <v>0.23047590376558574</v>
      </c>
    </row>
    <row r="61" spans="1:26" x14ac:dyDescent="0.2">
      <c r="B61">
        <v>2</v>
      </c>
      <c r="C61">
        <v>7.5</v>
      </c>
      <c r="D61">
        <v>309</v>
      </c>
      <c r="E61">
        <v>337</v>
      </c>
      <c r="F61">
        <v>9.8072491923519897E-2</v>
      </c>
      <c r="G61">
        <v>9.8072491923519897E-2</v>
      </c>
      <c r="H61">
        <v>0.15445414788793899</v>
      </c>
      <c r="I61">
        <v>0.111890966590938</v>
      </c>
      <c r="J61">
        <v>0.121879001392554</v>
      </c>
      <c r="K61">
        <v>8.0797790487543902E-2</v>
      </c>
      <c r="L61">
        <v>0.17547105218134401</v>
      </c>
      <c r="M61">
        <v>0.17547105218134401</v>
      </c>
      <c r="N61">
        <v>0.20986090025081999</v>
      </c>
      <c r="O61">
        <v>0.176203418925685</v>
      </c>
      <c r="P61">
        <v>0.17012190169291</v>
      </c>
      <c r="Q61">
        <v>0.17397877371648399</v>
      </c>
      <c r="R61">
        <f t="shared" si="3"/>
        <v>0.35852607029878741</v>
      </c>
      <c r="S61">
        <f t="shared" si="2"/>
        <v>0.35852607029878741</v>
      </c>
      <c r="T61">
        <f t="shared" si="2"/>
        <v>0.42395763962270111</v>
      </c>
      <c r="U61">
        <f t="shared" si="2"/>
        <v>0.38838301687237115</v>
      </c>
      <c r="V61">
        <f t="shared" si="2"/>
        <v>0.41739254949112936</v>
      </c>
      <c r="W61">
        <f t="shared" si="2"/>
        <v>0.31713195732885441</v>
      </c>
      <c r="X61">
        <f>CORREL($R$46:$W$46,R61:W61)</f>
        <v>-0.16704479785779408</v>
      </c>
      <c r="Y61">
        <f>CORREL($R$46:$W$46,F61:K61)</f>
        <v>-0.22293663677117043</v>
      </c>
      <c r="Z61">
        <f>CORREL($R$46:$W$46,L61:Q61)</f>
        <v>-0.31162867760686563</v>
      </c>
    </row>
    <row r="62" spans="1:26" hidden="1" x14ac:dyDescent="0.2">
      <c r="A62">
        <v>6</v>
      </c>
      <c r="B62">
        <v>2</v>
      </c>
      <c r="C62">
        <v>8</v>
      </c>
      <c r="D62">
        <v>338</v>
      </c>
      <c r="E62">
        <v>352</v>
      </c>
      <c r="F62">
        <v>3.4664950664950699E-3</v>
      </c>
      <c r="G62">
        <v>3.4664950664950699E-3</v>
      </c>
      <c r="H62">
        <v>2.6577962577962601E-3</v>
      </c>
      <c r="I62">
        <v>1.8013530013530001E-3</v>
      </c>
      <c r="J62">
        <v>9.6166286297865201E-3</v>
      </c>
      <c r="K62">
        <v>1.2035930255108299E-2</v>
      </c>
      <c r="L62">
        <v>9.5175555302137602E-2</v>
      </c>
      <c r="M62">
        <v>9.5175555302137602E-2</v>
      </c>
      <c r="N62">
        <v>9.9701853752486705E-2</v>
      </c>
      <c r="O62">
        <v>8.4257865460397097E-2</v>
      </c>
      <c r="P62">
        <v>9.9665663331552704E-2</v>
      </c>
      <c r="Q62">
        <v>0.14854124976372199</v>
      </c>
      <c r="R62">
        <f t="shared" si="3"/>
        <v>3.5142163545268168E-2</v>
      </c>
      <c r="S62">
        <f t="shared" si="2"/>
        <v>3.5142163545268168E-2</v>
      </c>
      <c r="T62">
        <f t="shared" si="2"/>
        <v>2.5965273010695719E-2</v>
      </c>
      <c r="U62">
        <f t="shared" si="2"/>
        <v>2.0931551942382904E-2</v>
      </c>
      <c r="V62">
        <f t="shared" si="2"/>
        <v>8.7998050344593737E-2</v>
      </c>
      <c r="W62">
        <f t="shared" si="2"/>
        <v>7.4954176264005204E-2</v>
      </c>
    </row>
    <row r="63" spans="1:26" x14ac:dyDescent="0.2">
      <c r="B63">
        <v>2</v>
      </c>
      <c r="C63">
        <v>8.5</v>
      </c>
      <c r="D63">
        <v>353</v>
      </c>
      <c r="E63">
        <v>386</v>
      </c>
      <c r="F63">
        <v>0.25960669776346001</v>
      </c>
      <c r="G63">
        <v>0.25962821954988802</v>
      </c>
      <c r="H63">
        <v>0.25810275749299699</v>
      </c>
      <c r="I63">
        <v>0.213909821359692</v>
      </c>
      <c r="J63">
        <v>0.35248094901374699</v>
      </c>
      <c r="K63">
        <v>0.238179824948412</v>
      </c>
      <c r="L63">
        <v>0.40133688904453502</v>
      </c>
      <c r="M63">
        <v>0.38060359014849499</v>
      </c>
      <c r="N63">
        <v>0.36923679560008199</v>
      </c>
      <c r="O63">
        <v>0.35402942179887498</v>
      </c>
      <c r="P63">
        <v>0.50658934966594904</v>
      </c>
      <c r="Q63">
        <v>0.42244217300305298</v>
      </c>
      <c r="R63">
        <f t="shared" si="3"/>
        <v>0.39278193017534507</v>
      </c>
      <c r="S63">
        <f t="shared" si="2"/>
        <v>0.40552221182543308</v>
      </c>
      <c r="T63">
        <f t="shared" si="2"/>
        <v>0.41142433347368107</v>
      </c>
      <c r="U63">
        <f t="shared" si="2"/>
        <v>0.37664208616760259</v>
      </c>
      <c r="V63">
        <f t="shared" si="2"/>
        <v>0.41030512817807163</v>
      </c>
      <c r="W63">
        <f t="shared" si="2"/>
        <v>0.36053874331612973</v>
      </c>
      <c r="X63">
        <f>CORREL($R$46:$W$46,R63:W63)</f>
        <v>-0.43077234580794282</v>
      </c>
      <c r="Y63">
        <f>CORREL($R$46:$W$46,F63:K63)</f>
        <v>0.34979241967282221</v>
      </c>
      <c r="Z63">
        <f>CORREL($R$46:$W$46,L63:Q63)</f>
        <v>0.70112850413667471</v>
      </c>
    </row>
    <row r="64" spans="1:26" hidden="1" x14ac:dyDescent="0.2">
      <c r="A64">
        <v>7</v>
      </c>
      <c r="B64">
        <v>2</v>
      </c>
      <c r="C64">
        <v>9</v>
      </c>
      <c r="D64">
        <v>387</v>
      </c>
      <c r="E64">
        <v>392</v>
      </c>
      <c r="F64">
        <v>8.5308915652954707E-3</v>
      </c>
      <c r="G64">
        <v>8.5308915652954707E-3</v>
      </c>
      <c r="H64">
        <v>8.5308915652954707E-3</v>
      </c>
      <c r="I64">
        <v>8.5308915652954707E-3</v>
      </c>
      <c r="J64">
        <v>8.5308915652954707E-3</v>
      </c>
      <c r="K64">
        <v>2.3401497695852501E-2</v>
      </c>
      <c r="L64">
        <v>5.4509943181818198E-2</v>
      </c>
      <c r="M64">
        <v>5.4509943181818198E-2</v>
      </c>
      <c r="N64">
        <v>5.4509943181818198E-2</v>
      </c>
      <c r="O64">
        <v>5.4509943181818198E-2</v>
      </c>
      <c r="P64">
        <v>5.4509943181818198E-2</v>
      </c>
      <c r="Q64">
        <v>0.115194281524927</v>
      </c>
      <c r="R64">
        <f t="shared" si="3"/>
        <v>0.13532326466673347</v>
      </c>
      <c r="S64">
        <f t="shared" si="3"/>
        <v>0.13532326466673347</v>
      </c>
      <c r="T64">
        <f t="shared" si="3"/>
        <v>0.13532326466673347</v>
      </c>
      <c r="U64">
        <f t="shared" si="3"/>
        <v>0.13532326466673347</v>
      </c>
      <c r="V64">
        <f t="shared" si="3"/>
        <v>0.13532326466673347</v>
      </c>
      <c r="W64">
        <f t="shared" si="3"/>
        <v>0.16884711661077728</v>
      </c>
    </row>
    <row r="65" spans="1:26" x14ac:dyDescent="0.2">
      <c r="B65">
        <v>2</v>
      </c>
      <c r="C65">
        <v>9.5</v>
      </c>
      <c r="D65">
        <v>393</v>
      </c>
      <c r="E65">
        <v>404</v>
      </c>
      <c r="F65">
        <v>0.164272509982826</v>
      </c>
      <c r="G65">
        <v>0.164272509982826</v>
      </c>
      <c r="H65">
        <v>5.2292578007169799E-2</v>
      </c>
      <c r="I65">
        <v>0.17642434297888401</v>
      </c>
      <c r="J65">
        <v>0.13797134641282699</v>
      </c>
      <c r="K65">
        <v>0.10309087025279901</v>
      </c>
      <c r="L65">
        <v>0.32976878778792501</v>
      </c>
      <c r="M65">
        <v>0.32976878778792501</v>
      </c>
      <c r="N65">
        <v>0.44151075002048501</v>
      </c>
      <c r="O65">
        <v>0.55342344705196</v>
      </c>
      <c r="P65">
        <v>0.26817444258310003</v>
      </c>
      <c r="Q65">
        <v>0.37721996038732403</v>
      </c>
      <c r="R65">
        <f t="shared" si="3"/>
        <v>0.33250764809352645</v>
      </c>
      <c r="S65">
        <f t="shared" si="3"/>
        <v>0.33250764809352645</v>
      </c>
      <c r="T65">
        <f t="shared" si="3"/>
        <v>0.10589758116057335</v>
      </c>
      <c r="U65">
        <f t="shared" si="3"/>
        <v>0.2417275840095757</v>
      </c>
      <c r="V65">
        <f t="shared" si="3"/>
        <v>0.33970891771134581</v>
      </c>
      <c r="W65">
        <f t="shared" si="3"/>
        <v>0.21463365736601661</v>
      </c>
      <c r="X65">
        <f>CORREL($R$46:$W$46,R65:W65)</f>
        <v>-1.6788702166606252E-2</v>
      </c>
      <c r="Y65">
        <f>CORREL($R$46:$W$46,F65:K65)</f>
        <v>-0.24307415208429442</v>
      </c>
      <c r="Z65">
        <f>CORREL($R$46:$W$46,L65:Q65)</f>
        <v>-0.25964494403796923</v>
      </c>
    </row>
    <row r="66" spans="1:26" hidden="1" x14ac:dyDescent="0.2">
      <c r="A66">
        <v>8</v>
      </c>
      <c r="B66">
        <v>2</v>
      </c>
      <c r="C66">
        <v>10</v>
      </c>
      <c r="D66">
        <v>405</v>
      </c>
      <c r="E66">
        <v>414</v>
      </c>
      <c r="F66">
        <v>4.4890633400016498E-3</v>
      </c>
      <c r="G66">
        <v>4.4890633400016498E-3</v>
      </c>
      <c r="H66">
        <v>4.5576214750084401E-3</v>
      </c>
      <c r="I66">
        <v>1.11227971121455E-2</v>
      </c>
      <c r="J66">
        <v>1.46826880289857E-2</v>
      </c>
      <c r="K66">
        <v>4.5576214750084401E-3</v>
      </c>
      <c r="L66">
        <v>1.52130806888358E-2</v>
      </c>
      <c r="M66">
        <v>1.52130806888358E-2</v>
      </c>
      <c r="N66">
        <v>1.48947477927341E-2</v>
      </c>
      <c r="O66">
        <v>2.21604990237519E-2</v>
      </c>
      <c r="P66">
        <v>3.1061415590172201E-2</v>
      </c>
      <c r="Q66">
        <v>1.48947477927341E-2</v>
      </c>
      <c r="R66">
        <f t="shared" si="3"/>
        <v>0.2278464381049666</v>
      </c>
      <c r="S66">
        <f t="shared" si="3"/>
        <v>0.2278464381049666</v>
      </c>
      <c r="T66">
        <f t="shared" si="3"/>
        <v>0.23429647115358071</v>
      </c>
      <c r="U66">
        <f t="shared" si="3"/>
        <v>0.33418556463670396</v>
      </c>
      <c r="V66">
        <f t="shared" si="3"/>
        <v>0.320974439705416</v>
      </c>
      <c r="W66">
        <f t="shared" si="3"/>
        <v>0.23429647115358071</v>
      </c>
    </row>
    <row r="67" spans="1:26" x14ac:dyDescent="0.2">
      <c r="B67">
        <v>2</v>
      </c>
      <c r="C67">
        <v>10.5</v>
      </c>
      <c r="D67">
        <v>415</v>
      </c>
      <c r="E67">
        <v>505</v>
      </c>
      <c r="F67">
        <v>0.27841493273081802</v>
      </c>
      <c r="G67">
        <v>0.267590366753924</v>
      </c>
      <c r="H67">
        <v>0.23285884604410401</v>
      </c>
      <c r="I67">
        <v>0.37730986154141599</v>
      </c>
      <c r="J67">
        <v>0.24447496744852201</v>
      </c>
      <c r="K67">
        <v>0.18685598761646099</v>
      </c>
      <c r="L67">
        <v>0.43852163460795002</v>
      </c>
      <c r="M67">
        <v>0.44282070544911001</v>
      </c>
      <c r="N67">
        <v>0.47262270278561103</v>
      </c>
      <c r="O67">
        <v>0.471689133234451</v>
      </c>
      <c r="P67">
        <v>0.38626034699870399</v>
      </c>
      <c r="Q67">
        <v>0.34838933918417497</v>
      </c>
      <c r="R67">
        <f t="shared" si="3"/>
        <v>0.38833970174555338</v>
      </c>
      <c r="S67">
        <f t="shared" si="3"/>
        <v>0.37666975815017595</v>
      </c>
      <c r="T67">
        <f t="shared" si="3"/>
        <v>0.33007078134131346</v>
      </c>
      <c r="U67">
        <f t="shared" si="3"/>
        <v>0.44441732424079561</v>
      </c>
      <c r="V67">
        <f t="shared" si="3"/>
        <v>0.38760310680047927</v>
      </c>
      <c r="W67">
        <f t="shared" si="3"/>
        <v>0.34910344520590214</v>
      </c>
      <c r="X67">
        <f>CORREL($R$46:$W$46,R67:W67)</f>
        <v>-0.14001070260646742</v>
      </c>
      <c r="Y67">
        <f>CORREL($R$46:$W$46,F67:K67)</f>
        <v>-0.46722459513394582</v>
      </c>
      <c r="Z67">
        <f>CORREL($R$46:$W$46,L67:Q67)</f>
        <v>-0.80436430906916356</v>
      </c>
    </row>
    <row r="68" spans="1:26" hidden="1" x14ac:dyDescent="0.2">
      <c r="A68">
        <v>9</v>
      </c>
      <c r="B68">
        <v>2</v>
      </c>
      <c r="C68">
        <v>11</v>
      </c>
      <c r="D68">
        <v>506</v>
      </c>
      <c r="E68">
        <v>512</v>
      </c>
      <c r="F68">
        <v>3.5147039195622199E-3</v>
      </c>
      <c r="G68">
        <v>3.5147039195622199E-3</v>
      </c>
      <c r="H68">
        <v>3.2168686014839901E-3</v>
      </c>
      <c r="I68">
        <v>3.5147039195622199E-3</v>
      </c>
      <c r="J68">
        <v>1.9039247917364301E-2</v>
      </c>
      <c r="K68">
        <v>3.5147039195622199E-3</v>
      </c>
      <c r="L68">
        <v>4.28994082840237E-2</v>
      </c>
      <c r="M68">
        <v>4.28994082840237E-2</v>
      </c>
      <c r="N68">
        <v>3.9760026298487801E-2</v>
      </c>
      <c r="O68">
        <v>4.28994082840237E-2</v>
      </c>
      <c r="P68">
        <v>3.2527834008097202E-2</v>
      </c>
      <c r="Q68">
        <v>4.28994082840237E-2</v>
      </c>
      <c r="R68">
        <f t="shared" si="3"/>
        <v>7.5724898154804654E-2</v>
      </c>
      <c r="S68">
        <f t="shared" si="3"/>
        <v>7.5724898154804654E-2</v>
      </c>
      <c r="T68">
        <f t="shared" si="3"/>
        <v>7.4851117303174494E-2</v>
      </c>
      <c r="U68">
        <f t="shared" si="3"/>
        <v>7.5724898154804654E-2</v>
      </c>
      <c r="V68">
        <f t="shared" si="3"/>
        <v>0.36921321134449492</v>
      </c>
      <c r="W68">
        <f t="shared" si="3"/>
        <v>7.5724898154804654E-2</v>
      </c>
    </row>
    <row r="69" spans="1:26" x14ac:dyDescent="0.2">
      <c r="B69">
        <v>2</v>
      </c>
      <c r="C69">
        <v>11.5</v>
      </c>
      <c r="D69">
        <v>513</v>
      </c>
      <c r="E69">
        <v>526</v>
      </c>
      <c r="F69">
        <v>5.4612638237144698E-2</v>
      </c>
      <c r="G69">
        <v>5.4612638237144698E-2</v>
      </c>
      <c r="H69">
        <v>4.3021111935644903E-2</v>
      </c>
      <c r="I69">
        <v>6.6603051656158499E-2</v>
      </c>
      <c r="J69">
        <v>0.12670445227211699</v>
      </c>
      <c r="K69">
        <v>7.2216590422435695E-2</v>
      </c>
      <c r="L69">
        <v>0.251410897461112</v>
      </c>
      <c r="M69">
        <v>0.251410897461112</v>
      </c>
      <c r="N69">
        <v>0.24850807635559599</v>
      </c>
      <c r="O69">
        <v>0.255917535744692</v>
      </c>
      <c r="P69">
        <v>0.45626411054979898</v>
      </c>
      <c r="Q69">
        <v>0.26154585064969599</v>
      </c>
      <c r="R69">
        <f t="shared" si="3"/>
        <v>0.1784589479777578</v>
      </c>
      <c r="S69">
        <f t="shared" si="3"/>
        <v>0.1784589479777578</v>
      </c>
      <c r="T69">
        <f t="shared" si="3"/>
        <v>0.14757051322307504</v>
      </c>
      <c r="U69">
        <f t="shared" si="3"/>
        <v>0.20650790758166301</v>
      </c>
      <c r="V69">
        <f t="shared" si="3"/>
        <v>0.21734354192066854</v>
      </c>
      <c r="W69">
        <f t="shared" si="3"/>
        <v>0.21637123155756302</v>
      </c>
      <c r="X69">
        <f>CORREL($R$46:$W$46,R69:W69)</f>
        <v>0.65830067974148798</v>
      </c>
      <c r="Y69">
        <f>CORREL($R$46:$W$46,F69:K69)</f>
        <v>0.63759846444777313</v>
      </c>
      <c r="Z69">
        <f>CORREL($R$46:$W$46,L69:Q69)</f>
        <v>0.52259891083256882</v>
      </c>
    </row>
    <row r="70" spans="1:26" hidden="1" x14ac:dyDescent="0.2">
      <c r="A70">
        <v>10</v>
      </c>
      <c r="B70">
        <v>2</v>
      </c>
      <c r="C70">
        <v>12</v>
      </c>
      <c r="D70">
        <v>527</v>
      </c>
      <c r="E70">
        <v>532</v>
      </c>
      <c r="F70">
        <v>7.2334522393975406E-2</v>
      </c>
      <c r="G70">
        <v>7.2334522393975406E-2</v>
      </c>
      <c r="H70">
        <v>1.47500141554838E-2</v>
      </c>
      <c r="I70">
        <v>1.47500141554838E-2</v>
      </c>
      <c r="J70">
        <v>1.47500141554838E-2</v>
      </c>
      <c r="K70">
        <v>1.47500141554838E-2</v>
      </c>
      <c r="L70">
        <v>9.9043089292792E-2</v>
      </c>
      <c r="M70">
        <v>9.9043089292792E-2</v>
      </c>
      <c r="N70">
        <v>7.5410509031198697E-2</v>
      </c>
      <c r="O70">
        <v>7.5410509031198697E-2</v>
      </c>
      <c r="P70">
        <v>7.5410509031198697E-2</v>
      </c>
      <c r="Q70">
        <v>7.5410509031198697E-2</v>
      </c>
      <c r="R70">
        <f t="shared" si="3"/>
        <v>0.42207684937390555</v>
      </c>
      <c r="S70">
        <f t="shared" si="3"/>
        <v>0.42207684937390555</v>
      </c>
      <c r="T70">
        <f t="shared" si="3"/>
        <v>0.16359725558538582</v>
      </c>
      <c r="U70">
        <f t="shared" si="3"/>
        <v>0.16359725558538582</v>
      </c>
      <c r="V70">
        <f t="shared" si="3"/>
        <v>0.16359725558538582</v>
      </c>
      <c r="W70">
        <f t="shared" si="3"/>
        <v>0.16359725558538582</v>
      </c>
    </row>
    <row r="71" spans="1:26" x14ac:dyDescent="0.2">
      <c r="B71">
        <v>3</v>
      </c>
      <c r="C71">
        <v>12.5</v>
      </c>
      <c r="D71">
        <v>533</v>
      </c>
      <c r="E71">
        <v>566</v>
      </c>
      <c r="F71">
        <v>0.30983236658383501</v>
      </c>
      <c r="G71">
        <v>0.33381655895416501</v>
      </c>
      <c r="H71">
        <v>0.27365834730046301</v>
      </c>
      <c r="I71">
        <v>0.445849054346662</v>
      </c>
      <c r="J71">
        <v>0.28468730268367898</v>
      </c>
      <c r="K71">
        <v>0.28927645412685699</v>
      </c>
      <c r="L71">
        <v>0.529092460947305</v>
      </c>
      <c r="M71">
        <v>0.51575783937126196</v>
      </c>
      <c r="N71">
        <v>0.57200739120542698</v>
      </c>
      <c r="O71">
        <v>0.62506909737230099</v>
      </c>
      <c r="P71">
        <v>0.47966748545132998</v>
      </c>
      <c r="Q71">
        <v>0.43487473560963302</v>
      </c>
      <c r="R71">
        <f t="shared" si="3"/>
        <v>0.36932077394304358</v>
      </c>
      <c r="S71">
        <f t="shared" si="3"/>
        <v>0.39292210265768579</v>
      </c>
      <c r="T71">
        <f t="shared" si="3"/>
        <v>0.32360108118363484</v>
      </c>
      <c r="U71">
        <f t="shared" si="3"/>
        <v>0.41632411742299469</v>
      </c>
      <c r="V71">
        <f t="shared" si="3"/>
        <v>0.37245439827531279</v>
      </c>
      <c r="W71">
        <f t="shared" si="3"/>
        <v>0.39946969393521431</v>
      </c>
      <c r="X71">
        <f>CORREL($R$46:$W$46,R71:W71)</f>
        <v>6.7680358602552518E-2</v>
      </c>
      <c r="Y71">
        <f>CORREL($R$46:$W$46,F71:K71)</f>
        <v>-0.36972536420829105</v>
      </c>
      <c r="Z71">
        <f>CORREL($R$46:$W$46,L71:Q71)</f>
        <v>-0.60494117608689435</v>
      </c>
    </row>
    <row r="97" spans="1:23" x14ac:dyDescent="0.2">
      <c r="F97">
        <v>5</v>
      </c>
      <c r="G97">
        <v>11</v>
      </c>
      <c r="H97">
        <v>42</v>
      </c>
      <c r="I97">
        <v>45</v>
      </c>
      <c r="J97">
        <v>48</v>
      </c>
      <c r="K97">
        <v>53</v>
      </c>
    </row>
    <row r="98" spans="1:23" hidden="1" x14ac:dyDescent="0.2">
      <c r="A98" t="s">
        <v>209</v>
      </c>
      <c r="B98">
        <v>2</v>
      </c>
      <c r="C98">
        <v>1</v>
      </c>
      <c r="D98">
        <v>1</v>
      </c>
      <c r="E98">
        <v>5</v>
      </c>
      <c r="F98">
        <v>0.129616000930287</v>
      </c>
      <c r="G98">
        <v>0.16291761148903999</v>
      </c>
      <c r="H98">
        <v>0.14767516134659001</v>
      </c>
      <c r="I98">
        <v>0.53808919255347798</v>
      </c>
      <c r="J98">
        <v>0.16291761148903999</v>
      </c>
      <c r="K98">
        <v>0.24792547376093299</v>
      </c>
      <c r="L98">
        <v>0.270272727272727</v>
      </c>
      <c r="M98">
        <v>0.56065015231681903</v>
      </c>
      <c r="N98">
        <v>0.41955844155844202</v>
      </c>
      <c r="O98">
        <v>0.37611914600551</v>
      </c>
      <c r="P98">
        <v>0.56065015231681903</v>
      </c>
      <c r="Q98">
        <v>0.55139726345083495</v>
      </c>
      <c r="R98">
        <f t="shared" ref="R98:W113" si="4">F98/(F98+L98)</f>
        <v>0.32413016869153666</v>
      </c>
      <c r="S98">
        <f t="shared" si="4"/>
        <v>0.22515874758172963</v>
      </c>
      <c r="T98">
        <f t="shared" si="4"/>
        <v>0.26034275929755563</v>
      </c>
      <c r="U98">
        <f t="shared" si="4"/>
        <v>0.58858486611666205</v>
      </c>
      <c r="V98">
        <f t="shared" si="4"/>
        <v>0.22515874758172963</v>
      </c>
      <c r="W98">
        <f t="shared" si="4"/>
        <v>0.31016942496313482</v>
      </c>
    </row>
    <row r="99" spans="1:23" x14ac:dyDescent="0.2">
      <c r="B99">
        <v>2</v>
      </c>
      <c r="C99">
        <v>1.5</v>
      </c>
      <c r="D99">
        <v>6</v>
      </c>
      <c r="E99">
        <v>12</v>
      </c>
      <c r="F99">
        <v>0.238284147174911</v>
      </c>
      <c r="G99">
        <v>0.17991101323391601</v>
      </c>
      <c r="H99">
        <v>0.24266641681840401</v>
      </c>
      <c r="I99">
        <v>0.25406072330833301</v>
      </c>
      <c r="J99">
        <v>0.19748534759834999</v>
      </c>
      <c r="K99">
        <v>0.15329457013848599</v>
      </c>
      <c r="L99">
        <v>0.40457010882877797</v>
      </c>
      <c r="M99">
        <v>0.33261451516954199</v>
      </c>
      <c r="N99">
        <v>0.39030282844845299</v>
      </c>
      <c r="O99">
        <v>0.34257318781170998</v>
      </c>
      <c r="P99">
        <v>0.36142431392545099</v>
      </c>
      <c r="Q99">
        <v>0.33065970885677298</v>
      </c>
      <c r="R99">
        <f t="shared" si="4"/>
        <v>0.37066589347359574</v>
      </c>
      <c r="S99">
        <f t="shared" si="4"/>
        <v>0.35102839422330351</v>
      </c>
      <c r="T99">
        <f t="shared" si="4"/>
        <v>0.38337789494985169</v>
      </c>
      <c r="U99">
        <f t="shared" si="4"/>
        <v>0.42582347160152606</v>
      </c>
      <c r="V99">
        <f t="shared" si="4"/>
        <v>0.35334037178732891</v>
      </c>
      <c r="W99">
        <f t="shared" si="4"/>
        <v>0.31675424062112223</v>
      </c>
    </row>
    <row r="100" spans="1:23" hidden="1" x14ac:dyDescent="0.2">
      <c r="A100">
        <v>1</v>
      </c>
      <c r="B100">
        <v>2</v>
      </c>
      <c r="C100">
        <v>2</v>
      </c>
      <c r="D100">
        <v>13</v>
      </c>
      <c r="E100">
        <v>18</v>
      </c>
      <c r="F100">
        <v>8.9364365433321394E-2</v>
      </c>
      <c r="G100">
        <v>0.21988117805646901</v>
      </c>
      <c r="H100">
        <v>8.9364365433321394E-2</v>
      </c>
      <c r="I100">
        <v>0.21917160942814401</v>
      </c>
      <c r="J100">
        <v>0.16232693732300299</v>
      </c>
      <c r="K100">
        <v>0.15585519598401901</v>
      </c>
      <c r="L100">
        <v>0.18400716705430301</v>
      </c>
      <c r="M100">
        <v>0.13007266689667099</v>
      </c>
      <c r="N100">
        <v>0.18400716705430301</v>
      </c>
      <c r="O100">
        <v>6.3876669925057E-2</v>
      </c>
      <c r="P100">
        <v>6.5979922715053804E-2</v>
      </c>
      <c r="Q100">
        <v>0.13657931958885</v>
      </c>
      <c r="R100">
        <f t="shared" si="4"/>
        <v>0.32689711551208039</v>
      </c>
      <c r="S100">
        <f t="shared" si="4"/>
        <v>0.62831479415781777</v>
      </c>
      <c r="T100">
        <f t="shared" si="4"/>
        <v>0.32689711551208039</v>
      </c>
      <c r="U100">
        <f t="shared" si="4"/>
        <v>0.77432588507154054</v>
      </c>
      <c r="V100">
        <f t="shared" si="4"/>
        <v>0.71100332813453127</v>
      </c>
      <c r="W100">
        <f t="shared" si="4"/>
        <v>0.53295759455310565</v>
      </c>
    </row>
    <row r="101" spans="1:23" x14ac:dyDescent="0.2">
      <c r="B101">
        <v>2</v>
      </c>
      <c r="C101">
        <v>2.5</v>
      </c>
      <c r="D101">
        <v>19</v>
      </c>
      <c r="E101">
        <v>55</v>
      </c>
      <c r="F101">
        <v>0.20150799339313999</v>
      </c>
      <c r="G101">
        <v>0.14377575562484399</v>
      </c>
      <c r="H101">
        <v>0.18940366574571599</v>
      </c>
      <c r="I101">
        <v>0.216234975130358</v>
      </c>
      <c r="J101">
        <v>0.141255840457786</v>
      </c>
      <c r="K101">
        <v>0.156355007806666</v>
      </c>
      <c r="L101">
        <v>0.29802855082609597</v>
      </c>
      <c r="M101">
        <v>0.24461173785457699</v>
      </c>
      <c r="N101">
        <v>0.28882577430850398</v>
      </c>
      <c r="O101">
        <v>0.177800791630146</v>
      </c>
      <c r="P101">
        <v>0.24978497562909099</v>
      </c>
      <c r="Q101">
        <v>0.26965925714374001</v>
      </c>
      <c r="R101">
        <f t="shared" si="4"/>
        <v>0.40338989354240801</v>
      </c>
      <c r="S101">
        <f t="shared" si="4"/>
        <v>0.3701863680954548</v>
      </c>
      <c r="T101">
        <f t="shared" si="4"/>
        <v>0.39605187360326888</v>
      </c>
      <c r="U101">
        <f t="shared" si="4"/>
        <v>0.54876991727958091</v>
      </c>
      <c r="V101">
        <f t="shared" si="4"/>
        <v>0.36123042569142799</v>
      </c>
      <c r="W101">
        <f t="shared" si="4"/>
        <v>0.3670182448582277</v>
      </c>
    </row>
    <row r="102" spans="1:23" hidden="1" x14ac:dyDescent="0.2">
      <c r="A102">
        <v>2</v>
      </c>
      <c r="B102">
        <v>2</v>
      </c>
      <c r="C102">
        <v>3</v>
      </c>
      <c r="D102">
        <v>56</v>
      </c>
      <c r="E102">
        <v>69</v>
      </c>
      <c r="F102">
        <v>5.1158337384646299E-3</v>
      </c>
      <c r="G102">
        <v>1.17384416468089E-2</v>
      </c>
      <c r="H102">
        <v>5.1158337384646299E-3</v>
      </c>
      <c r="I102">
        <v>5.2934079858640903E-2</v>
      </c>
      <c r="J102">
        <v>1.17384416468089E-2</v>
      </c>
      <c r="K102">
        <v>2.1335850919412602E-2</v>
      </c>
      <c r="L102">
        <v>6.4783333138255295E-2</v>
      </c>
      <c r="M102">
        <v>8.1365600116806006E-2</v>
      </c>
      <c r="N102">
        <v>6.4783333138255295E-2</v>
      </c>
      <c r="O102">
        <v>0.105846035114798</v>
      </c>
      <c r="P102">
        <v>8.1365600116806006E-2</v>
      </c>
      <c r="Q102">
        <v>8.0537820530488899E-2</v>
      </c>
      <c r="R102">
        <f t="shared" si="4"/>
        <v>7.3188765575523188E-2</v>
      </c>
      <c r="S102">
        <f t="shared" si="4"/>
        <v>0.1260787547399074</v>
      </c>
      <c r="T102">
        <f t="shared" si="4"/>
        <v>7.3188765575523188E-2</v>
      </c>
      <c r="U102">
        <f t="shared" si="4"/>
        <v>0.3333797803805334</v>
      </c>
      <c r="V102">
        <f t="shared" si="4"/>
        <v>0.1260787547399074</v>
      </c>
      <c r="W102">
        <f t="shared" si="4"/>
        <v>0.20943439669694194</v>
      </c>
    </row>
    <row r="103" spans="1:23" x14ac:dyDescent="0.2">
      <c r="B103">
        <v>2</v>
      </c>
      <c r="C103">
        <v>3.5</v>
      </c>
      <c r="D103">
        <v>70</v>
      </c>
      <c r="E103">
        <v>137</v>
      </c>
      <c r="F103">
        <v>0.39700557678585602</v>
      </c>
      <c r="G103">
        <v>0.30695577858017897</v>
      </c>
      <c r="H103">
        <v>0.375164123518265</v>
      </c>
      <c r="I103">
        <v>0.434119423517284</v>
      </c>
      <c r="J103">
        <v>0.32060703466206902</v>
      </c>
      <c r="K103">
        <v>0.37596213744648899</v>
      </c>
      <c r="L103">
        <v>0.58346243839527101</v>
      </c>
      <c r="M103">
        <v>0.47529883057802003</v>
      </c>
      <c r="N103">
        <v>0.59176505267740498</v>
      </c>
      <c r="O103">
        <v>0.27042799897981701</v>
      </c>
      <c r="P103">
        <v>0.48989204665717601</v>
      </c>
      <c r="Q103">
        <v>0.60911746351711105</v>
      </c>
      <c r="R103">
        <f t="shared" si="4"/>
        <v>0.40491435787685037</v>
      </c>
      <c r="S103">
        <f t="shared" si="4"/>
        <v>0.39239881106037927</v>
      </c>
      <c r="T103">
        <f t="shared" si="4"/>
        <v>0.38799545277382957</v>
      </c>
      <c r="U103">
        <f t="shared" si="4"/>
        <v>0.61616778325389487</v>
      </c>
      <c r="V103">
        <f t="shared" si="4"/>
        <v>0.39556742512307191</v>
      </c>
      <c r="W103">
        <f t="shared" si="4"/>
        <v>0.38165660630747472</v>
      </c>
    </row>
    <row r="104" spans="1:23" hidden="1" x14ac:dyDescent="0.2">
      <c r="A104">
        <v>3</v>
      </c>
      <c r="B104">
        <v>2</v>
      </c>
      <c r="C104">
        <v>4</v>
      </c>
      <c r="D104">
        <v>138</v>
      </c>
      <c r="E104">
        <v>153</v>
      </c>
      <c r="F104">
        <v>7.9507905825482606E-3</v>
      </c>
      <c r="G104">
        <v>6.7405629848539704E-3</v>
      </c>
      <c r="H104">
        <v>2.7214820557841398E-3</v>
      </c>
      <c r="I104">
        <v>8.9491188956497599E-3</v>
      </c>
      <c r="J104">
        <v>6.7405629848539704E-3</v>
      </c>
      <c r="K104">
        <v>1.87888632576588E-2</v>
      </c>
      <c r="L104">
        <v>5.4427284567357098E-2</v>
      </c>
      <c r="M104">
        <v>4.9562650098045703E-2</v>
      </c>
      <c r="N104">
        <v>3.89024757456247E-2</v>
      </c>
      <c r="O104">
        <v>4.29933345972692E-2</v>
      </c>
      <c r="P104">
        <v>4.9562650098045703E-2</v>
      </c>
      <c r="Q104">
        <v>6.6103730142992506E-2</v>
      </c>
      <c r="R104">
        <f t="shared" si="4"/>
        <v>0.1274613005201127</v>
      </c>
      <c r="S104">
        <f t="shared" si="4"/>
        <v>0.11971897545046509</v>
      </c>
      <c r="T104">
        <f t="shared" si="4"/>
        <v>6.5382587325514399E-2</v>
      </c>
      <c r="U104">
        <f t="shared" si="4"/>
        <v>0.17228910638327366</v>
      </c>
      <c r="V104">
        <f t="shared" si="4"/>
        <v>0.11971897545046509</v>
      </c>
      <c r="W104">
        <f t="shared" si="4"/>
        <v>0.22132511806989572</v>
      </c>
    </row>
    <row r="105" spans="1:23" x14ac:dyDescent="0.2">
      <c r="B105">
        <v>2</v>
      </c>
      <c r="C105">
        <v>4.5</v>
      </c>
      <c r="D105">
        <v>154</v>
      </c>
      <c r="E105">
        <v>187</v>
      </c>
      <c r="F105">
        <v>0.133230548874715</v>
      </c>
      <c r="G105">
        <v>0.26221459755138699</v>
      </c>
      <c r="H105">
        <v>0.122338429508572</v>
      </c>
      <c r="I105">
        <v>0.28281892565001499</v>
      </c>
      <c r="J105">
        <v>0.25519519540426699</v>
      </c>
      <c r="K105">
        <v>0.18299680175775301</v>
      </c>
      <c r="L105">
        <v>0.37499352277909098</v>
      </c>
      <c r="M105">
        <v>0.46123458316589899</v>
      </c>
      <c r="N105">
        <v>0.382145151929694</v>
      </c>
      <c r="O105">
        <v>0.212524712364285</v>
      </c>
      <c r="P105">
        <v>0.46503191140615102</v>
      </c>
      <c r="Q105">
        <v>0.41044679302597897</v>
      </c>
      <c r="R105">
        <f t="shared" si="4"/>
        <v>0.26214922965213167</v>
      </c>
      <c r="S105">
        <f t="shared" si="4"/>
        <v>0.36245061096261971</v>
      </c>
      <c r="T105">
        <f t="shared" si="4"/>
        <v>0.24250230138271139</v>
      </c>
      <c r="U105">
        <f t="shared" si="4"/>
        <v>0.57095499759270218</v>
      </c>
      <c r="V105">
        <f t="shared" si="4"/>
        <v>0.35432600771500927</v>
      </c>
      <c r="W105">
        <f t="shared" si="4"/>
        <v>0.3083642714594339</v>
      </c>
    </row>
    <row r="106" spans="1:23" hidden="1" x14ac:dyDescent="0.2">
      <c r="A106">
        <v>4</v>
      </c>
      <c r="B106">
        <v>2</v>
      </c>
      <c r="C106">
        <v>5</v>
      </c>
      <c r="D106">
        <v>188</v>
      </c>
      <c r="E106">
        <v>191</v>
      </c>
      <c r="F106">
        <v>8.4566326530612305E-3</v>
      </c>
      <c r="G106">
        <v>7.1913265306122395E-2</v>
      </c>
      <c r="H106">
        <v>8.4566326530612305E-3</v>
      </c>
      <c r="I106">
        <v>0.16564030612244901</v>
      </c>
      <c r="J106">
        <v>7.1913265306122395E-2</v>
      </c>
      <c r="K106">
        <v>2.6326530612244901E-2</v>
      </c>
      <c r="L106">
        <v>0.23</v>
      </c>
      <c r="M106">
        <v>0.30159090909090902</v>
      </c>
      <c r="N106">
        <v>0.23</v>
      </c>
      <c r="O106">
        <v>3.5999999999999997E-2</v>
      </c>
      <c r="P106">
        <v>0.30159090909090902</v>
      </c>
      <c r="Q106">
        <v>0.24285714285714299</v>
      </c>
      <c r="R106">
        <f t="shared" si="4"/>
        <v>3.5464027814923797E-2</v>
      </c>
      <c r="S106">
        <f t="shared" si="4"/>
        <v>0.19253671106143855</v>
      </c>
      <c r="T106">
        <f t="shared" si="4"/>
        <v>3.5464027814923797E-2</v>
      </c>
      <c r="U106">
        <f t="shared" si="4"/>
        <v>0.82146426628543956</v>
      </c>
      <c r="V106">
        <f t="shared" si="4"/>
        <v>0.19253671106143855</v>
      </c>
      <c r="W106">
        <f t="shared" si="4"/>
        <v>9.7801364670204671E-2</v>
      </c>
    </row>
    <row r="107" spans="1:23" x14ac:dyDescent="0.2">
      <c r="B107">
        <v>2</v>
      </c>
      <c r="C107">
        <v>5.5</v>
      </c>
      <c r="D107">
        <v>192</v>
      </c>
      <c r="E107">
        <v>276</v>
      </c>
      <c r="F107">
        <v>0.18943988522345101</v>
      </c>
      <c r="G107">
        <v>0.170150109218354</v>
      </c>
      <c r="H107">
        <v>0.20976534403243599</v>
      </c>
      <c r="I107">
        <v>0.24999299691165899</v>
      </c>
      <c r="J107">
        <v>0.19287573822974499</v>
      </c>
      <c r="K107">
        <v>0.17903079415136899</v>
      </c>
      <c r="L107">
        <v>0.28697195419895</v>
      </c>
      <c r="M107">
        <v>0.29246546843620402</v>
      </c>
      <c r="N107">
        <v>0.31213737139506198</v>
      </c>
      <c r="O107">
        <v>0.153278472575375</v>
      </c>
      <c r="P107">
        <v>0.317346361791842</v>
      </c>
      <c r="Q107">
        <v>0.30519640487128902</v>
      </c>
      <c r="R107">
        <f t="shared" si="4"/>
        <v>0.39763891143664032</v>
      </c>
      <c r="S107">
        <f t="shared" si="4"/>
        <v>0.36780021563693999</v>
      </c>
      <c r="T107">
        <f t="shared" si="4"/>
        <v>0.40192422425051799</v>
      </c>
      <c r="U107">
        <f t="shared" si="4"/>
        <v>0.61991243077436897</v>
      </c>
      <c r="V107">
        <f t="shared" si="4"/>
        <v>0.37802309665062456</v>
      </c>
      <c r="W107">
        <f t="shared" si="4"/>
        <v>0.36972477901430684</v>
      </c>
    </row>
    <row r="108" spans="1:23" hidden="1" x14ac:dyDescent="0.2">
      <c r="A108">
        <v>5</v>
      </c>
      <c r="B108">
        <v>2</v>
      </c>
      <c r="C108">
        <v>6</v>
      </c>
      <c r="D108">
        <v>277</v>
      </c>
      <c r="E108">
        <v>283</v>
      </c>
      <c r="F108">
        <v>0</v>
      </c>
      <c r="G108">
        <v>0</v>
      </c>
      <c r="H108">
        <v>0</v>
      </c>
      <c r="I108">
        <v>4.54545454545454E-2</v>
      </c>
      <c r="J108">
        <v>0</v>
      </c>
      <c r="K108">
        <v>0</v>
      </c>
      <c r="L108">
        <v>3.0212573589105701E-2</v>
      </c>
      <c r="M108">
        <v>3.0212573589105701E-2</v>
      </c>
      <c r="N108">
        <v>3.0212573589105701E-2</v>
      </c>
      <c r="O108">
        <v>5.2273455908564102E-2</v>
      </c>
      <c r="P108">
        <v>3.0212573589105701E-2</v>
      </c>
      <c r="Q108">
        <v>3.0212573589105701E-2</v>
      </c>
      <c r="R108">
        <f t="shared" si="4"/>
        <v>0</v>
      </c>
      <c r="S108">
        <f t="shared" si="4"/>
        <v>0</v>
      </c>
      <c r="T108">
        <f t="shared" si="4"/>
        <v>0</v>
      </c>
      <c r="U108">
        <f t="shared" si="4"/>
        <v>0.46511281127768611</v>
      </c>
      <c r="V108">
        <f t="shared" si="4"/>
        <v>0</v>
      </c>
      <c r="W108">
        <f t="shared" si="4"/>
        <v>0</v>
      </c>
    </row>
    <row r="109" spans="1:23" x14ac:dyDescent="0.2">
      <c r="B109">
        <v>2</v>
      </c>
      <c r="C109">
        <v>6.5</v>
      </c>
      <c r="D109">
        <v>284</v>
      </c>
      <c r="E109">
        <v>303</v>
      </c>
      <c r="F109">
        <v>5.4199137643684898E-2</v>
      </c>
      <c r="G109">
        <v>0.19363991886093199</v>
      </c>
      <c r="H109">
        <v>5.4199137643684898E-2</v>
      </c>
      <c r="I109">
        <v>0.23026926877360701</v>
      </c>
      <c r="J109">
        <v>0.14641698731962799</v>
      </c>
      <c r="K109">
        <v>8.6145734289682502E-2</v>
      </c>
      <c r="L109">
        <v>0.32038842161521902</v>
      </c>
      <c r="M109">
        <v>0.54268114539081902</v>
      </c>
      <c r="N109">
        <v>0.32038842161521902</v>
      </c>
      <c r="O109">
        <v>0.31291888076864999</v>
      </c>
      <c r="P109">
        <v>0.458977686063469</v>
      </c>
      <c r="Q109">
        <v>0.32464707872128101</v>
      </c>
      <c r="R109">
        <f t="shared" si="4"/>
        <v>0.14469017003905366</v>
      </c>
      <c r="S109">
        <f t="shared" si="4"/>
        <v>0.26298299513909568</v>
      </c>
      <c r="T109">
        <f t="shared" si="4"/>
        <v>0.14469017003905366</v>
      </c>
      <c r="U109">
        <f t="shared" si="4"/>
        <v>0.42392174602419846</v>
      </c>
      <c r="V109">
        <f t="shared" si="4"/>
        <v>0.24185377532546362</v>
      </c>
      <c r="W109">
        <f t="shared" si="4"/>
        <v>0.2097060405177619</v>
      </c>
    </row>
    <row r="110" spans="1:23" hidden="1" x14ac:dyDescent="0.2">
      <c r="A110" t="s">
        <v>208</v>
      </c>
      <c r="B110">
        <v>2</v>
      </c>
      <c r="C110">
        <v>7</v>
      </c>
      <c r="D110">
        <v>304</v>
      </c>
      <c r="E110">
        <v>308</v>
      </c>
      <c r="F110">
        <v>1.6293322062552799E-2</v>
      </c>
      <c r="G110">
        <v>1.2381656804733699E-2</v>
      </c>
      <c r="H110">
        <v>1.7836010143702501E-2</v>
      </c>
      <c r="I110">
        <v>1.94146238377008E-2</v>
      </c>
      <c r="J110">
        <v>1.2381656804733699E-2</v>
      </c>
      <c r="K110">
        <v>9.0666919287608894E-2</v>
      </c>
      <c r="L110">
        <v>0.117085798816568</v>
      </c>
      <c r="M110">
        <v>7.8121301775147894E-2</v>
      </c>
      <c r="N110">
        <v>0.140118343195266</v>
      </c>
      <c r="O110">
        <v>6.48224852071006E-2</v>
      </c>
      <c r="P110">
        <v>7.8121301775147894E-2</v>
      </c>
      <c r="Q110">
        <v>0.16936339522546401</v>
      </c>
      <c r="R110">
        <f t="shared" si="4"/>
        <v>0.1221579656183156</v>
      </c>
      <c r="S110">
        <f t="shared" si="4"/>
        <v>0.13680941484145123</v>
      </c>
      <c r="T110">
        <f t="shared" si="4"/>
        <v>0.11291876271005077</v>
      </c>
      <c r="U110">
        <f t="shared" si="4"/>
        <v>0.23047590376558574</v>
      </c>
      <c r="V110">
        <f t="shared" si="4"/>
        <v>0.13680941484145123</v>
      </c>
      <c r="W110">
        <f t="shared" si="4"/>
        <v>0.34867826644516348</v>
      </c>
    </row>
    <row r="111" spans="1:23" x14ac:dyDescent="0.2">
      <c r="B111">
        <v>2</v>
      </c>
      <c r="C111">
        <v>7.5</v>
      </c>
      <c r="D111">
        <v>309</v>
      </c>
      <c r="E111">
        <v>337</v>
      </c>
      <c r="F111">
        <v>0.20965991603242101</v>
      </c>
      <c r="G111">
        <v>0.11459112784230401</v>
      </c>
      <c r="H111">
        <v>0.22437155253945601</v>
      </c>
      <c r="I111">
        <v>0.16190663272567299</v>
      </c>
      <c r="J111">
        <v>9.3982995766971902E-2</v>
      </c>
      <c r="K111">
        <v>8.8161483589777295E-2</v>
      </c>
      <c r="L111">
        <v>0.246954538187695</v>
      </c>
      <c r="M111">
        <v>0.215016493627051</v>
      </c>
      <c r="N111">
        <v>0.25401529364943998</v>
      </c>
      <c r="O111">
        <v>0.10344936197796099</v>
      </c>
      <c r="P111">
        <v>0.14767886551673001</v>
      </c>
      <c r="Q111">
        <v>0.164720640366746</v>
      </c>
      <c r="R111">
        <f t="shared" si="4"/>
        <v>0.45916180290550357</v>
      </c>
      <c r="S111">
        <f t="shared" si="4"/>
        <v>0.34765921774341624</v>
      </c>
      <c r="T111">
        <f t="shared" si="4"/>
        <v>0.46901697721609298</v>
      </c>
      <c r="U111">
        <f t="shared" si="4"/>
        <v>0.61014876602467694</v>
      </c>
      <c r="V111">
        <f t="shared" si="4"/>
        <v>0.38890288797635059</v>
      </c>
      <c r="W111">
        <f t="shared" si="4"/>
        <v>0.34862679184446599</v>
      </c>
    </row>
    <row r="112" spans="1:23" hidden="1" x14ac:dyDescent="0.2">
      <c r="A112">
        <v>6</v>
      </c>
      <c r="B112">
        <v>2</v>
      </c>
      <c r="C112">
        <v>8</v>
      </c>
      <c r="D112">
        <v>338</v>
      </c>
      <c r="E112">
        <v>352</v>
      </c>
      <c r="F112">
        <v>1.0812408012408001E-2</v>
      </c>
      <c r="G112">
        <v>1.8013530013530001E-3</v>
      </c>
      <c r="H112">
        <v>8.6335478335478402E-3</v>
      </c>
      <c r="I112">
        <v>5.6209520331142002E-2</v>
      </c>
      <c r="J112">
        <v>1.8013530013530001E-3</v>
      </c>
      <c r="K112">
        <v>2.6577962577962601E-3</v>
      </c>
      <c r="L112">
        <v>0.13071704616008401</v>
      </c>
      <c r="M112">
        <v>8.4257865460397097E-2</v>
      </c>
      <c r="N112">
        <v>0.12796134742337301</v>
      </c>
      <c r="O112">
        <v>7.3182675277056103E-2</v>
      </c>
      <c r="P112">
        <v>8.4257865460397097E-2</v>
      </c>
      <c r="Q112">
        <v>9.9701853752486705E-2</v>
      </c>
      <c r="R112">
        <f t="shared" si="4"/>
        <v>7.6396874951769042E-2</v>
      </c>
      <c r="S112">
        <f t="shared" si="4"/>
        <v>2.0931551942382904E-2</v>
      </c>
      <c r="T112">
        <f t="shared" si="4"/>
        <v>6.3205494006998084E-2</v>
      </c>
      <c r="U112">
        <f t="shared" si="4"/>
        <v>0.43441198340389436</v>
      </c>
      <c r="V112">
        <f t="shared" si="4"/>
        <v>2.0931551942382904E-2</v>
      </c>
      <c r="W112">
        <f t="shared" si="4"/>
        <v>2.5965273010695719E-2</v>
      </c>
    </row>
    <row r="113" spans="1:23" x14ac:dyDescent="0.2">
      <c r="B113">
        <v>2</v>
      </c>
      <c r="C113">
        <v>8.5</v>
      </c>
      <c r="D113">
        <v>353</v>
      </c>
      <c r="E113">
        <v>386</v>
      </c>
      <c r="F113">
        <v>0.33259373701337602</v>
      </c>
      <c r="G113">
        <v>0.32908922183731099</v>
      </c>
      <c r="H113">
        <v>0.35645080571258603</v>
      </c>
      <c r="I113">
        <v>0.25178813367812802</v>
      </c>
      <c r="J113">
        <v>0.35829177854309802</v>
      </c>
      <c r="K113">
        <v>0.241263095053039</v>
      </c>
      <c r="L113">
        <v>0.56049949479865202</v>
      </c>
      <c r="M113">
        <v>0.47290461178443299</v>
      </c>
      <c r="N113">
        <v>0.59082866890490704</v>
      </c>
      <c r="O113">
        <v>0.26848365660267698</v>
      </c>
      <c r="P113">
        <v>0.49296694475817998</v>
      </c>
      <c r="Q113">
        <v>0.46484201078881798</v>
      </c>
      <c r="R113">
        <f t="shared" si="4"/>
        <v>0.37240651386257284</v>
      </c>
      <c r="S113">
        <f t="shared" si="4"/>
        <v>0.41033884306961405</v>
      </c>
      <c r="T113">
        <f t="shared" si="4"/>
        <v>0.3762889572335758</v>
      </c>
      <c r="U113">
        <f t="shared" si="4"/>
        <v>0.48395499887132276</v>
      </c>
      <c r="V113">
        <f t="shared" si="4"/>
        <v>0.42089645455097574</v>
      </c>
      <c r="W113">
        <f t="shared" si="4"/>
        <v>0.34168156136669198</v>
      </c>
    </row>
    <row r="114" spans="1:23" hidden="1" x14ac:dyDescent="0.2">
      <c r="A114">
        <v>7</v>
      </c>
      <c r="B114">
        <v>2</v>
      </c>
      <c r="C114">
        <v>9</v>
      </c>
      <c r="D114">
        <v>387</v>
      </c>
      <c r="E114">
        <v>392</v>
      </c>
      <c r="F114">
        <v>0.357413933315262</v>
      </c>
      <c r="G114">
        <v>1.87138821804382E-2</v>
      </c>
      <c r="H114">
        <v>0.310532991758531</v>
      </c>
      <c r="I114">
        <v>0.10108573419287099</v>
      </c>
      <c r="J114">
        <v>1.87138821804382E-2</v>
      </c>
      <c r="K114">
        <v>9.0728948967724501E-2</v>
      </c>
      <c r="L114">
        <v>0.196508672248804</v>
      </c>
      <c r="M114">
        <v>1.9886363636363601E-2</v>
      </c>
      <c r="N114">
        <v>0.133588489057239</v>
      </c>
      <c r="O114">
        <v>1.9886363636363601E-2</v>
      </c>
      <c r="P114">
        <v>1.9886363636363601E-2</v>
      </c>
      <c r="Q114">
        <v>0.12747434017595299</v>
      </c>
      <c r="R114">
        <f t="shared" ref="R114:W121" si="5">F114/(F114+L114)</f>
        <v>0.64524164517767446</v>
      </c>
      <c r="S114">
        <f t="shared" si="5"/>
        <v>0.48481251309266216</v>
      </c>
      <c r="T114">
        <f t="shared" si="5"/>
        <v>0.69920732315883183</v>
      </c>
      <c r="U114">
        <f t="shared" si="5"/>
        <v>0.83561198000851911</v>
      </c>
      <c r="V114">
        <f t="shared" si="5"/>
        <v>0.48481251309266216</v>
      </c>
      <c r="W114">
        <f t="shared" si="5"/>
        <v>0.41580009780688226</v>
      </c>
    </row>
    <row r="115" spans="1:23" x14ac:dyDescent="0.2">
      <c r="B115">
        <v>2</v>
      </c>
      <c r="C115">
        <v>9.5</v>
      </c>
      <c r="D115">
        <v>393</v>
      </c>
      <c r="E115">
        <v>404</v>
      </c>
      <c r="F115">
        <v>0.10241701217232101</v>
      </c>
      <c r="G115">
        <v>0.14199197737807201</v>
      </c>
      <c r="H115">
        <v>0.10241701217232101</v>
      </c>
      <c r="I115">
        <v>0.576900141171105</v>
      </c>
      <c r="J115">
        <v>0.15858103043670099</v>
      </c>
      <c r="K115">
        <v>0.10277007660764099</v>
      </c>
      <c r="L115">
        <v>0.38942447641701999</v>
      </c>
      <c r="M115">
        <v>0.44835526042344997</v>
      </c>
      <c r="N115">
        <v>0.38942447641701999</v>
      </c>
      <c r="O115">
        <v>0.31393145939785599</v>
      </c>
      <c r="P115">
        <v>0.48779842898819298</v>
      </c>
      <c r="Q115">
        <v>0.34952613908849001</v>
      </c>
      <c r="R115">
        <f t="shared" si="5"/>
        <v>0.20823174650447848</v>
      </c>
      <c r="S115">
        <f t="shared" si="5"/>
        <v>0.24052281146746129</v>
      </c>
      <c r="T115">
        <f t="shared" si="5"/>
        <v>0.20823174650447848</v>
      </c>
      <c r="U115">
        <f t="shared" si="5"/>
        <v>0.64759730211933142</v>
      </c>
      <c r="V115">
        <f t="shared" si="5"/>
        <v>0.24533736046902851</v>
      </c>
      <c r="W115">
        <f t="shared" si="5"/>
        <v>0.22721851972488238</v>
      </c>
    </row>
    <row r="116" spans="1:23" hidden="1" x14ac:dyDescent="0.2">
      <c r="A116">
        <v>8</v>
      </c>
      <c r="B116">
        <v>2</v>
      </c>
      <c r="C116">
        <v>10</v>
      </c>
      <c r="D116">
        <v>405</v>
      </c>
      <c r="E116">
        <v>414</v>
      </c>
      <c r="F116">
        <v>2.0890105297438101E-2</v>
      </c>
      <c r="G116">
        <v>4.5576214750084401E-3</v>
      </c>
      <c r="H116">
        <v>2.0890105297438101E-2</v>
      </c>
      <c r="I116">
        <v>9.5267380570490095E-3</v>
      </c>
      <c r="J116">
        <v>4.5576214750084401E-3</v>
      </c>
      <c r="K116">
        <v>4.5576214750084401E-3</v>
      </c>
      <c r="L116">
        <v>2.2882133810971199E-2</v>
      </c>
      <c r="M116">
        <v>1.48947477927341E-2</v>
      </c>
      <c r="N116">
        <v>2.2882133810971199E-2</v>
      </c>
      <c r="O116">
        <v>2.1648936170212799E-2</v>
      </c>
      <c r="P116">
        <v>1.48947477927341E-2</v>
      </c>
      <c r="Q116">
        <v>1.48947477927341E-2</v>
      </c>
      <c r="R116">
        <f t="shared" si="5"/>
        <v>0.477245526455712</v>
      </c>
      <c r="S116">
        <f t="shared" si="5"/>
        <v>0.23429647115358071</v>
      </c>
      <c r="T116">
        <f t="shared" si="5"/>
        <v>0.477245526455712</v>
      </c>
      <c r="U116">
        <f t="shared" si="5"/>
        <v>0.30558242261584451</v>
      </c>
      <c r="V116">
        <f t="shared" si="5"/>
        <v>0.23429647115358071</v>
      </c>
      <c r="W116">
        <f t="shared" si="5"/>
        <v>0.23429647115358071</v>
      </c>
    </row>
    <row r="117" spans="1:23" x14ac:dyDescent="0.2">
      <c r="B117">
        <v>2</v>
      </c>
      <c r="C117">
        <v>10.5</v>
      </c>
      <c r="D117">
        <v>415</v>
      </c>
      <c r="E117">
        <v>505</v>
      </c>
      <c r="F117">
        <v>0.49253391996330098</v>
      </c>
      <c r="G117">
        <v>0.30974427648783198</v>
      </c>
      <c r="H117">
        <v>0.48993942062115498</v>
      </c>
      <c r="I117">
        <v>0.36256301033016602</v>
      </c>
      <c r="J117">
        <v>0.30598104601943998</v>
      </c>
      <c r="K117">
        <v>0.21895184897197101</v>
      </c>
      <c r="L117">
        <v>0.58290788600957699</v>
      </c>
      <c r="M117">
        <v>0.45572000819619501</v>
      </c>
      <c r="N117">
        <v>0.55501806126681597</v>
      </c>
      <c r="O117">
        <v>0.28427602174886601</v>
      </c>
      <c r="P117">
        <v>0.44818501519251702</v>
      </c>
      <c r="Q117">
        <v>0.38678636879254003</v>
      </c>
      <c r="R117">
        <f t="shared" si="5"/>
        <v>0.45798286548637523</v>
      </c>
      <c r="S117">
        <f t="shared" si="5"/>
        <v>0.40464889438400137</v>
      </c>
      <c r="T117">
        <f t="shared" si="5"/>
        <v>0.46886062745439144</v>
      </c>
      <c r="U117">
        <f t="shared" si="5"/>
        <v>0.56051504678812791</v>
      </c>
      <c r="V117">
        <f t="shared" si="5"/>
        <v>0.4057210497217596</v>
      </c>
      <c r="W117">
        <f t="shared" si="5"/>
        <v>0.36146282758914766</v>
      </c>
    </row>
    <row r="118" spans="1:23" hidden="1" x14ac:dyDescent="0.2">
      <c r="A118">
        <v>9</v>
      </c>
      <c r="B118">
        <v>2</v>
      </c>
      <c r="C118">
        <v>11</v>
      </c>
      <c r="D118">
        <v>506</v>
      </c>
      <c r="E118">
        <v>512</v>
      </c>
      <c r="F118">
        <v>3.5147039195622199E-3</v>
      </c>
      <c r="G118">
        <v>3.2168686014839901E-3</v>
      </c>
      <c r="H118">
        <v>3.5147039195622199E-3</v>
      </c>
      <c r="I118">
        <v>1.2166232889917101E-2</v>
      </c>
      <c r="J118">
        <v>3.2168686014839901E-3</v>
      </c>
      <c r="K118">
        <v>3.5147039195622199E-3</v>
      </c>
      <c r="L118">
        <v>4.28994082840237E-2</v>
      </c>
      <c r="M118">
        <v>3.9760026298487801E-2</v>
      </c>
      <c r="N118">
        <v>4.28994082840237E-2</v>
      </c>
      <c r="O118">
        <v>5.5060096153846202E-2</v>
      </c>
      <c r="P118">
        <v>3.9760026298487801E-2</v>
      </c>
      <c r="Q118">
        <v>4.28994082840237E-2</v>
      </c>
      <c r="R118">
        <f t="shared" si="5"/>
        <v>7.5724898154804654E-2</v>
      </c>
      <c r="S118">
        <f t="shared" si="5"/>
        <v>7.4851117303174494E-2</v>
      </c>
      <c r="T118">
        <f t="shared" si="5"/>
        <v>7.5724898154804654E-2</v>
      </c>
      <c r="U118">
        <f t="shared" si="5"/>
        <v>0.1809742263629637</v>
      </c>
      <c r="V118">
        <f t="shared" si="5"/>
        <v>7.4851117303174494E-2</v>
      </c>
      <c r="W118">
        <f t="shared" si="5"/>
        <v>7.5724898154804654E-2</v>
      </c>
    </row>
    <row r="119" spans="1:23" x14ac:dyDescent="0.2">
      <c r="B119">
        <v>2</v>
      </c>
      <c r="C119">
        <v>11.5</v>
      </c>
      <c r="D119">
        <v>513</v>
      </c>
      <c r="E119">
        <v>526</v>
      </c>
      <c r="F119">
        <v>8.8443437891421797E-2</v>
      </c>
      <c r="G119">
        <v>7.9042216114754801E-2</v>
      </c>
      <c r="H119">
        <v>8.2398275806897306E-2</v>
      </c>
      <c r="I119">
        <v>0.14003100352959899</v>
      </c>
      <c r="J119">
        <v>7.9042216114754801E-2</v>
      </c>
      <c r="K119">
        <v>5.6072075940782999E-2</v>
      </c>
      <c r="L119">
        <v>0.27047144088276398</v>
      </c>
      <c r="M119">
        <v>0.28007027566783299</v>
      </c>
      <c r="N119">
        <v>0.27422579035224898</v>
      </c>
      <c r="O119">
        <v>0.20217561083331301</v>
      </c>
      <c r="P119">
        <v>0.28007027566783299</v>
      </c>
      <c r="Q119">
        <v>0.245550286086236</v>
      </c>
      <c r="R119">
        <f t="shared" si="5"/>
        <v>0.24641897876590041</v>
      </c>
      <c r="S119">
        <f t="shared" si="5"/>
        <v>0.22010433477933194</v>
      </c>
      <c r="T119">
        <f t="shared" si="5"/>
        <v>0.23105080006049405</v>
      </c>
      <c r="U119">
        <f t="shared" si="5"/>
        <v>0.40920016636819107</v>
      </c>
      <c r="V119">
        <f t="shared" si="5"/>
        <v>0.22010433477933194</v>
      </c>
      <c r="W119">
        <f t="shared" si="5"/>
        <v>0.18590158754794225</v>
      </c>
    </row>
    <row r="120" spans="1:23" hidden="1" x14ac:dyDescent="0.2">
      <c r="A120">
        <v>10</v>
      </c>
      <c r="B120">
        <v>2</v>
      </c>
      <c r="C120">
        <v>12</v>
      </c>
      <c r="D120">
        <v>527</v>
      </c>
      <c r="E120">
        <v>532</v>
      </c>
      <c r="F120">
        <v>0.18500821018062399</v>
      </c>
      <c r="G120">
        <v>9.6683087027914602E-2</v>
      </c>
      <c r="H120">
        <v>0.18500821018062399</v>
      </c>
      <c r="I120">
        <v>1.47500141554838E-2</v>
      </c>
      <c r="J120">
        <v>6.6600692000938294E-2</v>
      </c>
      <c r="K120">
        <v>1.47500141554838E-2</v>
      </c>
      <c r="L120">
        <v>0.19194170771756999</v>
      </c>
      <c r="M120">
        <v>0.10240147783251199</v>
      </c>
      <c r="N120">
        <v>0.19194170771756999</v>
      </c>
      <c r="O120">
        <v>7.5410509031198697E-2</v>
      </c>
      <c r="P120">
        <v>8.7085092657752702E-2</v>
      </c>
      <c r="Q120">
        <v>7.5410509031198697E-2</v>
      </c>
      <c r="R120">
        <f t="shared" si="5"/>
        <v>0.49080315818132292</v>
      </c>
      <c r="S120">
        <f t="shared" si="5"/>
        <v>0.48563828690434541</v>
      </c>
      <c r="T120">
        <f t="shared" si="5"/>
        <v>0.49080315818132292</v>
      </c>
      <c r="U120">
        <f t="shared" si="5"/>
        <v>0.16359725558538582</v>
      </c>
      <c r="V120">
        <f t="shared" si="5"/>
        <v>0.43335622841661436</v>
      </c>
      <c r="W120">
        <f t="shared" si="5"/>
        <v>0.16359725558538582</v>
      </c>
    </row>
    <row r="121" spans="1:23" x14ac:dyDescent="0.2">
      <c r="B121">
        <v>3</v>
      </c>
      <c r="C121">
        <v>12.5</v>
      </c>
      <c r="D121">
        <v>533</v>
      </c>
      <c r="E121">
        <v>566</v>
      </c>
      <c r="F121">
        <v>0.45958647070358299</v>
      </c>
      <c r="G121">
        <v>0.389182735072513</v>
      </c>
      <c r="H121">
        <v>0.40695159415639398</v>
      </c>
      <c r="I121">
        <v>0.35198749937092899</v>
      </c>
      <c r="J121">
        <v>0.41351806440183198</v>
      </c>
      <c r="K121">
        <v>0.316562158884724</v>
      </c>
      <c r="L121">
        <v>0.57097361575744698</v>
      </c>
      <c r="M121">
        <v>0.59222821432417105</v>
      </c>
      <c r="N121">
        <v>0.57043799575948695</v>
      </c>
      <c r="O121">
        <v>0.36477247370487798</v>
      </c>
      <c r="P121">
        <v>0.59141715728492406</v>
      </c>
      <c r="Q121">
        <v>0.46727477763122799</v>
      </c>
      <c r="R121">
        <f t="shared" si="5"/>
        <v>0.44595795698028129</v>
      </c>
      <c r="S121">
        <f t="shared" si="5"/>
        <v>0.39655430307941902</v>
      </c>
      <c r="T121">
        <f t="shared" si="5"/>
        <v>0.41636579553852043</v>
      </c>
      <c r="U121">
        <f t="shared" si="5"/>
        <v>0.49108141162020719</v>
      </c>
      <c r="V121">
        <f t="shared" si="5"/>
        <v>0.41148728343679042</v>
      </c>
      <c r="W121">
        <f t="shared" si="5"/>
        <v>0.40386226284742271</v>
      </c>
    </row>
  </sheetData>
  <autoFilter ref="A47:W71" xr:uid="{536C8F1B-E8E2-489F-957B-F5DF357D2399}">
    <filterColumn colId="0">
      <filters blank="1"/>
    </filterColumn>
  </autoFilter>
  <phoneticPr fontId="5" type="noConversion"/>
  <conditionalFormatting sqref="C3:C3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3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6:Q34 N2:V2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25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Q34 O2:V25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2:T25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2:V2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:R2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8:W71 X49:Z49 X51:Z51 X53:Z53 X55:Z55 X57:Z57 X59:Z59 X61:Z61 X63:Z63 X65:Z65 X67:Z67 X69:Z69 X71:Z7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49:X71 Y49:Z49 Y51:Z51 Y53:Z53 Y55:Z55 Y57:Z57 Y59:Z59 Y61:Z61 Y63:Z63 Y65:Z65 Y67:Z67 Y69:Z69 Y71:Z7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8:W1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9:W7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trichohypolins 3 letters (2)</vt:lpstr>
      <vt:lpstr>trichohypolins 3 letters</vt:lpstr>
      <vt:lpstr>trichohypolins</vt:lpstr>
      <vt:lpstr>Sheet2</vt:lpstr>
      <vt:lpstr>tabulate</vt:lpstr>
      <vt:lpstr>tabulate (2)</vt:lpstr>
      <vt:lpstr>Sheet3</vt:lpstr>
      <vt:lpstr>Sheet4</vt:lpstr>
      <vt:lpstr>Sheet1</vt:lpstr>
      <vt:lpstr>MI</vt:lpstr>
      <vt:lpstr>Sheet6</vt:lpstr>
      <vt:lpstr>Sheet9</vt:lpstr>
      <vt:lpstr>Sheet10</vt:lpstr>
      <vt:lpstr>SidNA3</vt:lpstr>
      <vt:lpstr>Sheet7</vt:lpstr>
      <vt:lpstr>Sheet8</vt:lpstr>
      <vt:lpstr>Sheet12</vt:lpstr>
      <vt:lpstr>Sheet5</vt:lpstr>
      <vt:lpstr>Sheet13</vt:lpstr>
      <vt:lpstr>Sheet11</vt:lpstr>
      <vt:lpstr>Sheet5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Fan</dc:creator>
  <cp:lastModifiedBy>贺若霖</cp:lastModifiedBy>
  <dcterms:created xsi:type="dcterms:W3CDTF">2015-06-05T18:19:34Z</dcterms:created>
  <dcterms:modified xsi:type="dcterms:W3CDTF">2022-09-28T03:09:28Z</dcterms:modified>
</cp:coreProperties>
</file>